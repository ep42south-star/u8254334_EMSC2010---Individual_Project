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ANU\Second Year - Semester 1\EMSC2010\Individual Project\"/>
    </mc:Choice>
  </mc:AlternateContent>
  <xr:revisionPtr revIDLastSave="0" documentId="13_ncr:9_{48712809-6558-49FD-9ECA-0E37FE7CFB55}" xr6:coauthVersionLast="47" xr6:coauthVersionMax="47" xr10:uidLastSave="{00000000-0000-0000-0000-000000000000}"/>
  <bookViews>
    <workbookView xWindow="-120" yWindow="-120" windowWidth="29040" windowHeight="15720" xr2:uid="{0CE09F7A-C7B4-404D-AA76-4770F63888CF}"/>
  </bookViews>
  <sheets>
    <sheet name="LVP_pump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</calcChain>
</file>

<file path=xl/sharedStrings.xml><?xml version="1.0" encoding="utf-8"?>
<sst xmlns="http://schemas.openxmlformats.org/spreadsheetml/2006/main" count="512" uniqueCount="73">
  <si>
    <t>lon</t>
  </si>
  <si>
    <t>lat</t>
  </si>
  <si>
    <t>PON</t>
  </si>
  <si>
    <t>POC</t>
  </si>
  <si>
    <t>C_to_N</t>
  </si>
  <si>
    <t>dN15_POM</t>
  </si>
  <si>
    <t>dC13_POM</t>
  </si>
  <si>
    <t>Melville</t>
  </si>
  <si>
    <t>N_in</t>
  </si>
  <si>
    <t>MLZ_50m</t>
  </si>
  <si>
    <t>54_um</t>
  </si>
  <si>
    <t>1_um</t>
  </si>
  <si>
    <t>N_out</t>
  </si>
  <si>
    <t>S_in_out_?</t>
  </si>
  <si>
    <t>MLZ_35m</t>
  </si>
  <si>
    <t>S_out</t>
  </si>
  <si>
    <t>S_in</t>
  </si>
  <si>
    <t>S_in_?</t>
  </si>
  <si>
    <t>Polar_Star</t>
  </si>
  <si>
    <t>130202_0511</t>
  </si>
  <si>
    <t>1st_Pump_Cast</t>
  </si>
  <si>
    <t>Pump_01</t>
  </si>
  <si>
    <t>3B</t>
  </si>
  <si>
    <t>in</t>
  </si>
  <si>
    <t>140202_2030</t>
  </si>
  <si>
    <t>Pump_02</t>
  </si>
  <si>
    <t>150202_0330</t>
  </si>
  <si>
    <t>3rd_Pump_Cast</t>
  </si>
  <si>
    <t>Pump_03</t>
  </si>
  <si>
    <t>170202_0215</t>
  </si>
  <si>
    <t>Hot_Spot</t>
  </si>
  <si>
    <t>Pump_04</t>
  </si>
  <si>
    <t>out</t>
  </si>
  <si>
    <t>170202_2215</t>
  </si>
  <si>
    <t>Out_Low_Chl</t>
  </si>
  <si>
    <t>Pump_05</t>
  </si>
  <si>
    <t>180202_0345</t>
  </si>
  <si>
    <t>Pump_out_hgh_Chl</t>
  </si>
  <si>
    <t>Pump_06</t>
  </si>
  <si>
    <t>180202_2225</t>
  </si>
  <si>
    <t>Pump_07</t>
  </si>
  <si>
    <t>190202_0640</t>
  </si>
  <si>
    <t>1st_Pump_at_IN_STA</t>
  </si>
  <si>
    <t>Pump_08</t>
  </si>
  <si>
    <t>190202_0930</t>
  </si>
  <si>
    <t>Pump_09</t>
  </si>
  <si>
    <t>190202_2230</t>
  </si>
  <si>
    <t>1st_Pump_at_OUT_STA</t>
  </si>
  <si>
    <t>Pump_10</t>
  </si>
  <si>
    <t>200202_0120</t>
  </si>
  <si>
    <t>Pump_11</t>
  </si>
  <si>
    <t>200202_1835</t>
  </si>
  <si>
    <t>Pump_12</t>
  </si>
  <si>
    <t>200202_2145</t>
  </si>
  <si>
    <t>Pump_13</t>
  </si>
  <si>
    <t>NaN</t>
  </si>
  <si>
    <t>2NaN_Pump_Cast</t>
  </si>
  <si>
    <t>2NaN_Pump_at_IN_STA</t>
  </si>
  <si>
    <t>2NaN_Pump_at_OUT_STA</t>
  </si>
  <si>
    <t>Ship_Name</t>
  </si>
  <si>
    <t>Patch_Loc</t>
  </si>
  <si>
    <t>Event</t>
  </si>
  <si>
    <t>Date</t>
  </si>
  <si>
    <t>Time</t>
  </si>
  <si>
    <t>YrDay</t>
  </si>
  <si>
    <t>DecYrDay</t>
  </si>
  <si>
    <t>Comments</t>
  </si>
  <si>
    <t>Station</t>
  </si>
  <si>
    <t>Depth</t>
  </si>
  <si>
    <t>Sample_ID</t>
  </si>
  <si>
    <t>Filter_Size</t>
  </si>
  <si>
    <t>Frac_Anlyd</t>
  </si>
  <si>
    <t>Volume_Filt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</si>
</sst>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98D2-3FDE-4F9C-8A8E-EBE32637175E}">
  <dimension ref="A1:V100"/>
  <sheetViews>
    <sheetView tabSelected="1" topLeftCell="A60" workbookViewId="0">
      <selection activeCell="G103" sqref="G103"/>
    </sheetView>
  </sheetViews>
  <sheetFormatPr defaultRowHeight="14.5" x14ac:dyDescent="0.35"/>
  <sheetData>
    <row r="1" spans="1:22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0</v>
      </c>
      <c r="I1" t="s">
        <v>1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2</v>
      </c>
      <c r="R1" t="s">
        <v>3</v>
      </c>
      <c r="S1" t="s">
        <v>4</v>
      </c>
      <c r="T1" t="s">
        <v>5</v>
      </c>
      <c r="U1" t="s">
        <v>6</v>
      </c>
    </row>
    <row r="2" spans="1:22" x14ac:dyDescent="0.35">
      <c r="A2" t="s">
        <v>7</v>
      </c>
      <c r="B2" t="s">
        <v>8</v>
      </c>
      <c r="C2">
        <v>240745</v>
      </c>
      <c r="D2">
        <v>20020124</v>
      </c>
      <c r="E2">
        <v>745</v>
      </c>
      <c r="F2">
        <v>24</v>
      </c>
      <c r="G2">
        <f>F2+E2/2400</f>
        <v>24.310416666666665</v>
      </c>
      <c r="H2">
        <v>-171.40799999999999</v>
      </c>
      <c r="I2">
        <v>-55.335000000000001</v>
      </c>
      <c r="J2" t="s">
        <v>9</v>
      </c>
      <c r="K2">
        <v>1</v>
      </c>
      <c r="L2">
        <v>19</v>
      </c>
      <c r="M2">
        <v>9</v>
      </c>
      <c r="N2" t="s">
        <v>10</v>
      </c>
      <c r="O2">
        <v>0.22900000000000001</v>
      </c>
      <c r="P2">
        <v>420.9</v>
      </c>
      <c r="Q2">
        <v>8.6999999999999994E-3</v>
      </c>
      <c r="R2">
        <v>9.0999999999999998E-2</v>
      </c>
      <c r="S2">
        <v>10.47</v>
      </c>
      <c r="T2">
        <v>-1.22</v>
      </c>
      <c r="U2">
        <v>-25.43</v>
      </c>
      <c r="V2">
        <v>-25.43</v>
      </c>
    </row>
    <row r="3" spans="1:22" x14ac:dyDescent="0.35">
      <c r="A3" t="s">
        <v>7</v>
      </c>
      <c r="B3" t="s">
        <v>8</v>
      </c>
      <c r="C3">
        <v>240745</v>
      </c>
      <c r="D3">
        <v>20020124</v>
      </c>
      <c r="E3">
        <v>745</v>
      </c>
      <c r="F3">
        <v>24</v>
      </c>
      <c r="G3">
        <f t="shared" ref="G3:G66" si="0">F3+E3/2400</f>
        <v>24.310416666666665</v>
      </c>
      <c r="H3">
        <v>-171.40799999999999</v>
      </c>
      <c r="I3">
        <v>-55.335000000000001</v>
      </c>
      <c r="J3" t="s">
        <v>9</v>
      </c>
      <c r="K3">
        <v>1</v>
      </c>
      <c r="L3">
        <v>19</v>
      </c>
      <c r="M3">
        <v>10</v>
      </c>
      <c r="N3" t="s">
        <v>11</v>
      </c>
      <c r="O3">
        <v>1.9E-2</v>
      </c>
      <c r="P3">
        <v>420.9</v>
      </c>
      <c r="Q3">
        <v>0.35460000000000003</v>
      </c>
      <c r="R3">
        <v>2.2250000000000001</v>
      </c>
      <c r="S3">
        <v>6.28</v>
      </c>
      <c r="T3">
        <v>-3.34</v>
      </c>
      <c r="U3">
        <v>-24.83</v>
      </c>
      <c r="V3">
        <v>-24.83</v>
      </c>
    </row>
    <row r="4" spans="1:22" x14ac:dyDescent="0.35">
      <c r="A4" t="s">
        <v>7</v>
      </c>
      <c r="B4" t="s">
        <v>8</v>
      </c>
      <c r="C4">
        <v>240745</v>
      </c>
      <c r="D4">
        <v>20020124</v>
      </c>
      <c r="E4">
        <v>745</v>
      </c>
      <c r="F4">
        <v>24</v>
      </c>
      <c r="G4">
        <f t="shared" si="0"/>
        <v>24.310416666666665</v>
      </c>
      <c r="H4">
        <v>-171.40799999999999</v>
      </c>
      <c r="I4">
        <v>-55.335000000000001</v>
      </c>
      <c r="J4" t="s">
        <v>9</v>
      </c>
      <c r="K4">
        <v>1</v>
      </c>
      <c r="L4">
        <v>62</v>
      </c>
      <c r="M4">
        <v>11</v>
      </c>
      <c r="N4" t="s">
        <v>10</v>
      </c>
      <c r="O4">
        <v>0.21579999999999999</v>
      </c>
      <c r="P4">
        <v>414.5</v>
      </c>
      <c r="Q4">
        <v>6.1000000000000004E-3</v>
      </c>
      <c r="R4">
        <v>5.5E-2</v>
      </c>
      <c r="S4">
        <v>9</v>
      </c>
      <c r="T4">
        <v>-2.48</v>
      </c>
      <c r="U4">
        <v>-24.84</v>
      </c>
      <c r="V4">
        <v>-24.84</v>
      </c>
    </row>
    <row r="5" spans="1:22" x14ac:dyDescent="0.35">
      <c r="A5" t="s">
        <v>7</v>
      </c>
      <c r="B5" t="s">
        <v>8</v>
      </c>
      <c r="C5">
        <v>240745</v>
      </c>
      <c r="D5">
        <v>20020124</v>
      </c>
      <c r="E5">
        <v>745</v>
      </c>
      <c r="F5">
        <v>24</v>
      </c>
      <c r="G5">
        <f t="shared" si="0"/>
        <v>24.310416666666665</v>
      </c>
      <c r="H5">
        <v>-171.40799999999999</v>
      </c>
      <c r="I5">
        <v>-55.335000000000001</v>
      </c>
      <c r="J5" t="s">
        <v>9</v>
      </c>
      <c r="K5">
        <v>1</v>
      </c>
      <c r="L5">
        <v>62</v>
      </c>
      <c r="M5">
        <v>12</v>
      </c>
      <c r="N5" t="s">
        <v>11</v>
      </c>
      <c r="O5">
        <v>1.9E-2</v>
      </c>
      <c r="P5">
        <v>414.5</v>
      </c>
      <c r="Q5">
        <v>0.2616</v>
      </c>
      <c r="R5">
        <v>1.5760000000000001</v>
      </c>
      <c r="S5">
        <v>6.02</v>
      </c>
      <c r="T5">
        <v>-4.75</v>
      </c>
      <c r="U5">
        <v>-26</v>
      </c>
      <c r="V5">
        <v>-26</v>
      </c>
    </row>
    <row r="6" spans="1:22" x14ac:dyDescent="0.35">
      <c r="A6" t="s">
        <v>7</v>
      </c>
      <c r="B6" t="s">
        <v>12</v>
      </c>
      <c r="C6">
        <v>250843</v>
      </c>
      <c r="D6">
        <v>20020125</v>
      </c>
      <c r="E6">
        <v>843</v>
      </c>
      <c r="F6">
        <v>25</v>
      </c>
      <c r="G6">
        <f t="shared" si="0"/>
        <v>25.35125</v>
      </c>
      <c r="H6">
        <v>-171.678</v>
      </c>
      <c r="I6">
        <v>-55.234000000000002</v>
      </c>
      <c r="J6" t="s">
        <v>55</v>
      </c>
      <c r="K6">
        <v>2</v>
      </c>
      <c r="L6">
        <v>19</v>
      </c>
      <c r="M6">
        <v>21</v>
      </c>
      <c r="N6" t="s">
        <v>10</v>
      </c>
      <c r="O6">
        <v>0.23369999999999999</v>
      </c>
      <c r="P6">
        <v>423.2</v>
      </c>
      <c r="Q6">
        <v>1.8E-3</v>
      </c>
      <c r="R6">
        <v>2.5000000000000001E-2</v>
      </c>
      <c r="S6">
        <v>13.81</v>
      </c>
      <c r="T6">
        <v>-2.98</v>
      </c>
      <c r="U6">
        <v>-28.14</v>
      </c>
      <c r="V6">
        <v>-28.14</v>
      </c>
    </row>
    <row r="7" spans="1:22" x14ac:dyDescent="0.35">
      <c r="A7" t="s">
        <v>7</v>
      </c>
      <c r="B7" t="s">
        <v>12</v>
      </c>
      <c r="C7">
        <v>250843</v>
      </c>
      <c r="D7">
        <v>20020125</v>
      </c>
      <c r="E7">
        <v>843</v>
      </c>
      <c r="F7">
        <v>25</v>
      </c>
      <c r="G7">
        <f t="shared" si="0"/>
        <v>25.35125</v>
      </c>
      <c r="H7">
        <v>-171.678</v>
      </c>
      <c r="I7">
        <v>-55.234000000000002</v>
      </c>
      <c r="J7" t="s">
        <v>55</v>
      </c>
      <c r="K7">
        <v>2</v>
      </c>
      <c r="L7">
        <v>19</v>
      </c>
      <c r="M7">
        <v>22</v>
      </c>
      <c r="N7" t="s">
        <v>11</v>
      </c>
      <c r="O7">
        <v>3.7999999999999999E-2</v>
      </c>
      <c r="P7">
        <v>423.2</v>
      </c>
      <c r="Q7">
        <v>0.2298</v>
      </c>
      <c r="R7">
        <v>1.4179999999999999</v>
      </c>
      <c r="S7">
        <v>6.17</v>
      </c>
      <c r="T7">
        <v>-7.41</v>
      </c>
      <c r="U7">
        <v>-26.03</v>
      </c>
      <c r="V7">
        <v>-26.03</v>
      </c>
    </row>
    <row r="8" spans="1:22" x14ac:dyDescent="0.35">
      <c r="A8" t="s">
        <v>7</v>
      </c>
      <c r="B8" t="s">
        <v>12</v>
      </c>
      <c r="C8">
        <v>250843</v>
      </c>
      <c r="D8">
        <v>20020125</v>
      </c>
      <c r="E8">
        <v>843</v>
      </c>
      <c r="F8">
        <v>25</v>
      </c>
      <c r="G8">
        <f t="shared" si="0"/>
        <v>25.35125</v>
      </c>
      <c r="H8">
        <v>-171.678</v>
      </c>
      <c r="I8">
        <v>-55.234000000000002</v>
      </c>
      <c r="J8" t="s">
        <v>55</v>
      </c>
      <c r="K8">
        <v>2</v>
      </c>
      <c r="L8">
        <v>62</v>
      </c>
      <c r="M8">
        <v>23</v>
      </c>
      <c r="N8" t="s">
        <v>10</v>
      </c>
      <c r="O8">
        <v>0.1991</v>
      </c>
      <c r="P8">
        <v>386.1</v>
      </c>
      <c r="Q8">
        <v>2.2000000000000001E-3</v>
      </c>
      <c r="R8">
        <v>2.1000000000000001E-2</v>
      </c>
      <c r="S8">
        <v>9.25</v>
      </c>
      <c r="T8">
        <v>-3.23</v>
      </c>
      <c r="U8">
        <v>-27.29</v>
      </c>
      <c r="V8">
        <v>-27.29</v>
      </c>
    </row>
    <row r="9" spans="1:22" x14ac:dyDescent="0.35">
      <c r="A9" t="s">
        <v>7</v>
      </c>
      <c r="B9" t="s">
        <v>12</v>
      </c>
      <c r="C9">
        <v>250843</v>
      </c>
      <c r="D9">
        <v>20020125</v>
      </c>
      <c r="E9">
        <v>843</v>
      </c>
      <c r="F9">
        <v>25</v>
      </c>
      <c r="G9">
        <f t="shared" si="0"/>
        <v>25.35125</v>
      </c>
      <c r="H9">
        <v>-171.678</v>
      </c>
      <c r="I9">
        <v>-55.234000000000002</v>
      </c>
      <c r="J9" t="s">
        <v>55</v>
      </c>
      <c r="K9">
        <v>2</v>
      </c>
      <c r="L9">
        <v>62</v>
      </c>
      <c r="M9">
        <v>24</v>
      </c>
      <c r="N9" t="s">
        <v>11</v>
      </c>
      <c r="O9">
        <v>1.9E-2</v>
      </c>
      <c r="P9">
        <v>386.1</v>
      </c>
      <c r="Q9">
        <v>0.28799999999999998</v>
      </c>
      <c r="R9">
        <v>1.73</v>
      </c>
      <c r="S9">
        <v>6.01</v>
      </c>
      <c r="T9">
        <v>-5.77</v>
      </c>
      <c r="U9">
        <v>-26.68</v>
      </c>
      <c r="V9">
        <v>-26.68</v>
      </c>
    </row>
    <row r="10" spans="1:22" x14ac:dyDescent="0.35">
      <c r="A10" t="s">
        <v>7</v>
      </c>
      <c r="B10" t="s">
        <v>13</v>
      </c>
      <c r="C10">
        <v>292330</v>
      </c>
      <c r="D10">
        <v>20020129</v>
      </c>
      <c r="E10">
        <v>2330</v>
      </c>
      <c r="F10">
        <v>29</v>
      </c>
      <c r="G10">
        <f t="shared" si="0"/>
        <v>29.970833333333335</v>
      </c>
      <c r="H10">
        <v>-171.96199999999999</v>
      </c>
      <c r="I10">
        <v>-66.337000000000003</v>
      </c>
      <c r="J10" t="s">
        <v>14</v>
      </c>
      <c r="K10">
        <v>4</v>
      </c>
      <c r="L10">
        <v>20</v>
      </c>
      <c r="M10">
        <v>36</v>
      </c>
      <c r="N10" t="s">
        <v>10</v>
      </c>
      <c r="O10">
        <v>8.5099999999999995E-2</v>
      </c>
      <c r="P10">
        <v>273.3</v>
      </c>
      <c r="Q10">
        <v>0.2235</v>
      </c>
      <c r="R10">
        <v>1.357</v>
      </c>
      <c r="S10">
        <v>6.07</v>
      </c>
      <c r="T10">
        <v>-0.02</v>
      </c>
      <c r="U10">
        <v>-29.23</v>
      </c>
      <c r="V10">
        <v>-29.23</v>
      </c>
    </row>
    <row r="11" spans="1:22" x14ac:dyDescent="0.35">
      <c r="A11" t="s">
        <v>7</v>
      </c>
      <c r="B11" t="s">
        <v>13</v>
      </c>
      <c r="C11">
        <v>292330</v>
      </c>
      <c r="D11">
        <v>20020129</v>
      </c>
      <c r="E11">
        <v>2330</v>
      </c>
      <c r="F11">
        <v>29</v>
      </c>
      <c r="G11">
        <f t="shared" si="0"/>
        <v>29.970833333333335</v>
      </c>
      <c r="H11">
        <v>-171.96199999999999</v>
      </c>
      <c r="I11">
        <v>-66.337000000000003</v>
      </c>
      <c r="J11" t="s">
        <v>14</v>
      </c>
      <c r="K11">
        <v>4</v>
      </c>
      <c r="L11">
        <v>20</v>
      </c>
      <c r="M11">
        <v>37</v>
      </c>
      <c r="N11" t="s">
        <v>11</v>
      </c>
      <c r="O11">
        <v>1.9E-2</v>
      </c>
      <c r="P11">
        <v>273.3</v>
      </c>
      <c r="Q11">
        <v>0.57499999999999996</v>
      </c>
      <c r="R11">
        <v>3.2130000000000001</v>
      </c>
      <c r="S11">
        <v>5.59</v>
      </c>
      <c r="T11">
        <v>-0.05</v>
      </c>
      <c r="U11">
        <v>-28.8</v>
      </c>
      <c r="V11">
        <v>-28.8</v>
      </c>
    </row>
    <row r="12" spans="1:22" x14ac:dyDescent="0.35">
      <c r="A12" t="s">
        <v>7</v>
      </c>
      <c r="B12" t="s">
        <v>13</v>
      </c>
      <c r="C12">
        <v>292330</v>
      </c>
      <c r="D12">
        <v>20020129</v>
      </c>
      <c r="E12">
        <v>2330</v>
      </c>
      <c r="F12">
        <v>29</v>
      </c>
      <c r="G12">
        <f t="shared" si="0"/>
        <v>29.970833333333335</v>
      </c>
      <c r="H12">
        <v>-171.96199999999999</v>
      </c>
      <c r="I12">
        <v>-66.337000000000003</v>
      </c>
      <c r="J12" t="s">
        <v>14</v>
      </c>
      <c r="K12">
        <v>4</v>
      </c>
      <c r="L12">
        <v>55</v>
      </c>
      <c r="M12">
        <v>38</v>
      </c>
      <c r="N12" t="s">
        <v>10</v>
      </c>
      <c r="O12">
        <v>6.8199999999999997E-2</v>
      </c>
      <c r="P12">
        <v>275.60000000000002</v>
      </c>
      <c r="Q12">
        <v>0.25309999999999999</v>
      </c>
      <c r="R12">
        <v>1.7170000000000001</v>
      </c>
      <c r="S12">
        <v>6.78</v>
      </c>
      <c r="T12">
        <v>0.47</v>
      </c>
      <c r="U12">
        <v>-28.9</v>
      </c>
      <c r="V12">
        <v>-28.9</v>
      </c>
    </row>
    <row r="13" spans="1:22" x14ac:dyDescent="0.35">
      <c r="A13" t="s">
        <v>7</v>
      </c>
      <c r="B13" t="s">
        <v>13</v>
      </c>
      <c r="C13">
        <v>292330</v>
      </c>
      <c r="D13">
        <v>20020129</v>
      </c>
      <c r="E13">
        <v>2330</v>
      </c>
      <c r="F13">
        <v>29</v>
      </c>
      <c r="G13">
        <f t="shared" si="0"/>
        <v>29.970833333333335</v>
      </c>
      <c r="H13">
        <v>-171.96199999999999</v>
      </c>
      <c r="I13">
        <v>-66.337000000000003</v>
      </c>
      <c r="J13" t="s">
        <v>14</v>
      </c>
      <c r="K13">
        <v>4</v>
      </c>
      <c r="L13">
        <v>55</v>
      </c>
      <c r="M13">
        <v>39</v>
      </c>
      <c r="N13" t="s">
        <v>11</v>
      </c>
      <c r="O13">
        <v>1.9E-2</v>
      </c>
      <c r="P13">
        <v>275.60000000000002</v>
      </c>
      <c r="Q13">
        <v>0.44519999999999998</v>
      </c>
      <c r="R13">
        <v>2.641</v>
      </c>
      <c r="S13">
        <v>5.93</v>
      </c>
      <c r="T13">
        <v>1.04</v>
      </c>
      <c r="U13">
        <v>-29.29</v>
      </c>
      <c r="V13">
        <v>-29.29</v>
      </c>
    </row>
    <row r="14" spans="1:22" x14ac:dyDescent="0.35">
      <c r="A14" t="s">
        <v>7</v>
      </c>
      <c r="B14" t="s">
        <v>15</v>
      </c>
      <c r="C14">
        <v>310820</v>
      </c>
      <c r="D14">
        <v>20020131</v>
      </c>
      <c r="E14">
        <v>820</v>
      </c>
      <c r="F14">
        <v>31</v>
      </c>
      <c r="G14">
        <f t="shared" si="0"/>
        <v>31.341666666666665</v>
      </c>
      <c r="H14">
        <v>-171.81899999999999</v>
      </c>
      <c r="I14">
        <v>-66.611999999999995</v>
      </c>
      <c r="J14" t="s">
        <v>55</v>
      </c>
      <c r="K14">
        <v>6</v>
      </c>
      <c r="L14">
        <v>20</v>
      </c>
      <c r="M14">
        <v>48</v>
      </c>
      <c r="N14" t="s">
        <v>10</v>
      </c>
      <c r="O14">
        <v>0.12709999999999999</v>
      </c>
      <c r="P14">
        <v>314</v>
      </c>
      <c r="Q14">
        <v>7.4399999999999994E-2</v>
      </c>
      <c r="R14">
        <v>0.53600000000000003</v>
      </c>
      <c r="S14">
        <v>7.21</v>
      </c>
      <c r="T14">
        <v>-0.22</v>
      </c>
      <c r="U14">
        <v>-26.24</v>
      </c>
      <c r="V14">
        <v>-26.24</v>
      </c>
    </row>
    <row r="15" spans="1:22" x14ac:dyDescent="0.35">
      <c r="A15" t="s">
        <v>7</v>
      </c>
      <c r="B15" t="s">
        <v>15</v>
      </c>
      <c r="C15">
        <v>310820</v>
      </c>
      <c r="D15">
        <v>20020131</v>
      </c>
      <c r="E15">
        <v>820</v>
      </c>
      <c r="F15">
        <v>31</v>
      </c>
      <c r="G15">
        <f t="shared" si="0"/>
        <v>31.341666666666665</v>
      </c>
      <c r="H15">
        <v>-171.81899999999999</v>
      </c>
      <c r="I15">
        <v>-66.611999999999995</v>
      </c>
      <c r="J15" t="s">
        <v>55</v>
      </c>
      <c r="K15">
        <v>6</v>
      </c>
      <c r="L15">
        <v>20</v>
      </c>
      <c r="M15">
        <v>49</v>
      </c>
      <c r="N15" t="s">
        <v>11</v>
      </c>
      <c r="O15">
        <v>1.9E-2</v>
      </c>
      <c r="P15">
        <v>314</v>
      </c>
      <c r="Q15">
        <v>0.4572</v>
      </c>
      <c r="R15">
        <v>2.5470000000000002</v>
      </c>
      <c r="S15">
        <v>5.57</v>
      </c>
      <c r="T15">
        <v>0.3</v>
      </c>
      <c r="U15">
        <v>-28.6</v>
      </c>
      <c r="V15">
        <v>-28.6</v>
      </c>
    </row>
    <row r="16" spans="1:22" x14ac:dyDescent="0.35">
      <c r="A16" t="s">
        <v>7</v>
      </c>
      <c r="B16" t="s">
        <v>15</v>
      </c>
      <c r="C16">
        <v>310820</v>
      </c>
      <c r="D16">
        <v>20020131</v>
      </c>
      <c r="E16">
        <v>820</v>
      </c>
      <c r="F16">
        <v>31</v>
      </c>
      <c r="G16">
        <f t="shared" si="0"/>
        <v>31.341666666666665</v>
      </c>
      <c r="H16">
        <v>-171.81899999999999</v>
      </c>
      <c r="I16">
        <v>-66.611999999999995</v>
      </c>
      <c r="J16" t="s">
        <v>55</v>
      </c>
      <c r="K16">
        <v>6</v>
      </c>
      <c r="L16">
        <v>68</v>
      </c>
      <c r="M16">
        <v>50</v>
      </c>
      <c r="N16" t="s">
        <v>10</v>
      </c>
      <c r="O16">
        <v>0.24010000000000001</v>
      </c>
      <c r="P16">
        <v>314</v>
      </c>
      <c r="Q16">
        <v>2.3599999999999999E-2</v>
      </c>
      <c r="R16">
        <v>0.13500000000000001</v>
      </c>
      <c r="S16">
        <v>5.72</v>
      </c>
      <c r="T16">
        <v>2.39</v>
      </c>
      <c r="U16">
        <v>-29.55</v>
      </c>
      <c r="V16">
        <v>-29.55</v>
      </c>
    </row>
    <row r="17" spans="1:22" x14ac:dyDescent="0.35">
      <c r="A17" t="s">
        <v>7</v>
      </c>
      <c r="B17" t="s">
        <v>15</v>
      </c>
      <c r="C17">
        <v>310820</v>
      </c>
      <c r="D17">
        <v>20020131</v>
      </c>
      <c r="E17">
        <v>820</v>
      </c>
      <c r="F17">
        <v>31</v>
      </c>
      <c r="G17">
        <f t="shared" si="0"/>
        <v>31.341666666666665</v>
      </c>
      <c r="H17">
        <v>-171.81899999999999</v>
      </c>
      <c r="I17">
        <v>-66.611999999999995</v>
      </c>
      <c r="J17" t="s">
        <v>55</v>
      </c>
      <c r="K17">
        <v>6</v>
      </c>
      <c r="L17">
        <v>68</v>
      </c>
      <c r="M17">
        <v>51</v>
      </c>
      <c r="N17" t="s">
        <v>11</v>
      </c>
      <c r="O17">
        <v>1.9E-2</v>
      </c>
      <c r="P17">
        <v>314</v>
      </c>
      <c r="Q17">
        <v>0.18740000000000001</v>
      </c>
      <c r="R17">
        <v>1.2629999999999999</v>
      </c>
      <c r="S17">
        <v>6.74</v>
      </c>
      <c r="T17">
        <v>1.78</v>
      </c>
      <c r="U17">
        <v>-30.18</v>
      </c>
      <c r="V17">
        <v>-30.18</v>
      </c>
    </row>
    <row r="18" spans="1:22" x14ac:dyDescent="0.35">
      <c r="A18" t="s">
        <v>7</v>
      </c>
      <c r="B18" t="s">
        <v>15</v>
      </c>
      <c r="C18">
        <v>330311</v>
      </c>
      <c r="D18">
        <v>20020202</v>
      </c>
      <c r="E18">
        <v>311</v>
      </c>
      <c r="F18">
        <v>33</v>
      </c>
      <c r="G18">
        <f t="shared" si="0"/>
        <v>33.129583333333336</v>
      </c>
      <c r="H18">
        <v>-172.22800000000001</v>
      </c>
      <c r="I18">
        <v>-66.585999999999999</v>
      </c>
      <c r="J18" t="s">
        <v>55</v>
      </c>
      <c r="K18">
        <v>10</v>
      </c>
      <c r="L18">
        <v>20</v>
      </c>
      <c r="M18">
        <v>60</v>
      </c>
      <c r="N18" t="s">
        <v>10</v>
      </c>
      <c r="O18">
        <v>0.10580000000000001</v>
      </c>
      <c r="P18">
        <v>316</v>
      </c>
      <c r="Q18">
        <v>6.5699999999999995E-2</v>
      </c>
      <c r="R18">
        <v>0.40100000000000002</v>
      </c>
      <c r="S18">
        <v>6.1</v>
      </c>
      <c r="T18">
        <v>-0.26</v>
      </c>
      <c r="U18">
        <v>-28.71</v>
      </c>
      <c r="V18">
        <v>-28.71</v>
      </c>
    </row>
    <row r="19" spans="1:22" x14ac:dyDescent="0.35">
      <c r="A19" t="s">
        <v>7</v>
      </c>
      <c r="B19" t="s">
        <v>15</v>
      </c>
      <c r="C19">
        <v>330311</v>
      </c>
      <c r="D19">
        <v>20020202</v>
      </c>
      <c r="E19">
        <v>311</v>
      </c>
      <c r="F19">
        <v>33</v>
      </c>
      <c r="G19">
        <f t="shared" si="0"/>
        <v>33.129583333333336</v>
      </c>
      <c r="H19">
        <v>-172.22800000000001</v>
      </c>
      <c r="I19">
        <v>-66.585999999999999</v>
      </c>
      <c r="J19" t="s">
        <v>55</v>
      </c>
      <c r="K19">
        <v>10</v>
      </c>
      <c r="L19">
        <v>20</v>
      </c>
      <c r="M19">
        <v>61</v>
      </c>
      <c r="N19" t="s">
        <v>11</v>
      </c>
      <c r="O19">
        <v>1.9E-2</v>
      </c>
      <c r="P19">
        <v>316</v>
      </c>
      <c r="Q19">
        <v>0.47689999999999999</v>
      </c>
      <c r="R19">
        <v>2.653</v>
      </c>
      <c r="S19">
        <v>5.56</v>
      </c>
      <c r="T19">
        <v>0.43</v>
      </c>
      <c r="U19">
        <v>-28.62</v>
      </c>
      <c r="V19">
        <v>-28.62</v>
      </c>
    </row>
    <row r="20" spans="1:22" x14ac:dyDescent="0.35">
      <c r="A20" t="s">
        <v>7</v>
      </c>
      <c r="B20" t="s">
        <v>15</v>
      </c>
      <c r="C20">
        <v>330311</v>
      </c>
      <c r="D20">
        <v>20020202</v>
      </c>
      <c r="E20">
        <v>311</v>
      </c>
      <c r="F20">
        <v>33</v>
      </c>
      <c r="G20">
        <f t="shared" si="0"/>
        <v>33.129583333333336</v>
      </c>
      <c r="H20">
        <v>-172.22800000000001</v>
      </c>
      <c r="I20">
        <v>-66.585999999999999</v>
      </c>
      <c r="J20" t="s">
        <v>55</v>
      </c>
      <c r="K20">
        <v>10</v>
      </c>
      <c r="L20">
        <v>53</v>
      </c>
      <c r="M20">
        <v>62</v>
      </c>
      <c r="N20" t="s">
        <v>10</v>
      </c>
      <c r="O20">
        <v>9.5100000000000004E-2</v>
      </c>
      <c r="P20">
        <v>285.7</v>
      </c>
      <c r="Q20">
        <v>0.15329999999999999</v>
      </c>
      <c r="R20">
        <v>0.97699999999999998</v>
      </c>
      <c r="S20">
        <v>6.37</v>
      </c>
      <c r="T20">
        <v>0.28000000000000003</v>
      </c>
      <c r="U20">
        <v>-27.37</v>
      </c>
      <c r="V20">
        <v>-27.37</v>
      </c>
    </row>
    <row r="21" spans="1:22" x14ac:dyDescent="0.35">
      <c r="A21" t="s">
        <v>7</v>
      </c>
      <c r="B21" t="s">
        <v>15</v>
      </c>
      <c r="C21">
        <v>330311</v>
      </c>
      <c r="D21">
        <v>20020202</v>
      </c>
      <c r="E21">
        <v>311</v>
      </c>
      <c r="F21">
        <v>33</v>
      </c>
      <c r="G21">
        <f t="shared" si="0"/>
        <v>33.129583333333336</v>
      </c>
      <c r="H21">
        <v>-172.22800000000001</v>
      </c>
      <c r="I21">
        <v>-66.585999999999999</v>
      </c>
      <c r="J21" t="s">
        <v>55</v>
      </c>
      <c r="K21">
        <v>10</v>
      </c>
      <c r="L21">
        <v>53</v>
      </c>
      <c r="M21">
        <v>63</v>
      </c>
      <c r="N21" t="s">
        <v>11</v>
      </c>
      <c r="O21">
        <v>1.9E-2</v>
      </c>
      <c r="P21">
        <v>285.7</v>
      </c>
      <c r="Q21">
        <v>0.50360000000000005</v>
      </c>
      <c r="R21">
        <v>2.7879999999999998</v>
      </c>
      <c r="S21">
        <v>5.54</v>
      </c>
      <c r="T21">
        <v>0.64</v>
      </c>
      <c r="U21">
        <v>-28.91</v>
      </c>
      <c r="V21">
        <v>-28.91</v>
      </c>
    </row>
    <row r="22" spans="1:22" x14ac:dyDescent="0.35">
      <c r="A22" t="s">
        <v>7</v>
      </c>
      <c r="B22" t="s">
        <v>16</v>
      </c>
      <c r="C22">
        <v>350245</v>
      </c>
      <c r="D22">
        <v>20020204</v>
      </c>
      <c r="E22">
        <v>245</v>
      </c>
      <c r="F22">
        <v>35</v>
      </c>
      <c r="G22">
        <f t="shared" si="0"/>
        <v>35.102083333333333</v>
      </c>
      <c r="H22">
        <v>-171.95099999999999</v>
      </c>
      <c r="I22">
        <v>-66.251999999999995</v>
      </c>
      <c r="J22" t="s">
        <v>55</v>
      </c>
      <c r="K22">
        <v>18</v>
      </c>
      <c r="L22">
        <v>18</v>
      </c>
      <c r="M22">
        <v>81</v>
      </c>
      <c r="N22" t="s">
        <v>10</v>
      </c>
      <c r="O22">
        <v>0.1263</v>
      </c>
      <c r="P22">
        <v>313</v>
      </c>
      <c r="Q22">
        <v>7.0699999999999999E-2</v>
      </c>
      <c r="R22">
        <v>0.41399999999999998</v>
      </c>
      <c r="S22">
        <v>5.85</v>
      </c>
      <c r="T22">
        <v>0.76</v>
      </c>
      <c r="U22">
        <v>-29.18</v>
      </c>
      <c r="V22">
        <v>-29.18</v>
      </c>
    </row>
    <row r="23" spans="1:22" x14ac:dyDescent="0.35">
      <c r="A23" t="s">
        <v>7</v>
      </c>
      <c r="B23" t="s">
        <v>16</v>
      </c>
      <c r="C23">
        <v>350245</v>
      </c>
      <c r="D23">
        <v>20020204</v>
      </c>
      <c r="E23">
        <v>245</v>
      </c>
      <c r="F23">
        <v>35</v>
      </c>
      <c r="G23">
        <f t="shared" si="0"/>
        <v>35.102083333333333</v>
      </c>
      <c r="H23">
        <v>-171.95099999999999</v>
      </c>
      <c r="I23">
        <v>-66.251999999999995</v>
      </c>
      <c r="J23" t="s">
        <v>55</v>
      </c>
      <c r="K23">
        <v>18</v>
      </c>
      <c r="L23">
        <v>18</v>
      </c>
      <c r="M23">
        <v>82</v>
      </c>
      <c r="N23" t="s">
        <v>11</v>
      </c>
      <c r="O23">
        <v>1.9E-2</v>
      </c>
      <c r="P23">
        <v>313</v>
      </c>
      <c r="Q23">
        <v>0.59440000000000004</v>
      </c>
      <c r="R23">
        <v>3.16</v>
      </c>
      <c r="S23">
        <v>5.32</v>
      </c>
      <c r="T23">
        <v>0.77</v>
      </c>
      <c r="U23">
        <v>-28.85</v>
      </c>
      <c r="V23">
        <v>-28.85</v>
      </c>
    </row>
    <row r="24" spans="1:22" x14ac:dyDescent="0.35">
      <c r="A24" t="s">
        <v>7</v>
      </c>
      <c r="B24" t="s">
        <v>16</v>
      </c>
      <c r="C24">
        <v>350245</v>
      </c>
      <c r="D24">
        <v>20020204</v>
      </c>
      <c r="E24">
        <v>245</v>
      </c>
      <c r="F24">
        <v>35</v>
      </c>
      <c r="G24">
        <f t="shared" si="0"/>
        <v>35.102083333333333</v>
      </c>
      <c r="H24">
        <v>-171.95099999999999</v>
      </c>
      <c r="I24">
        <v>-66.251999999999995</v>
      </c>
      <c r="J24" t="s">
        <v>55</v>
      </c>
      <c r="K24">
        <v>18</v>
      </c>
      <c r="L24">
        <v>66</v>
      </c>
      <c r="M24">
        <v>83</v>
      </c>
      <c r="N24" t="s">
        <v>10</v>
      </c>
      <c r="O24">
        <v>0.28949999999999998</v>
      </c>
      <c r="P24">
        <v>325</v>
      </c>
      <c r="Q24">
        <v>9.1999999999999998E-3</v>
      </c>
      <c r="R24">
        <v>5.5E-2</v>
      </c>
      <c r="S24">
        <v>6.03</v>
      </c>
      <c r="T24">
        <v>2.21</v>
      </c>
      <c r="U24">
        <v>-28.48</v>
      </c>
      <c r="V24">
        <v>-28.48</v>
      </c>
    </row>
    <row r="25" spans="1:22" x14ac:dyDescent="0.35">
      <c r="A25" t="s">
        <v>7</v>
      </c>
      <c r="B25" t="s">
        <v>16</v>
      </c>
      <c r="C25">
        <v>350245</v>
      </c>
      <c r="D25">
        <v>20020204</v>
      </c>
      <c r="E25">
        <v>245</v>
      </c>
      <c r="F25">
        <v>35</v>
      </c>
      <c r="G25">
        <f t="shared" si="0"/>
        <v>35.102083333333333</v>
      </c>
      <c r="H25">
        <v>-171.95099999999999</v>
      </c>
      <c r="I25">
        <v>-66.251999999999995</v>
      </c>
      <c r="J25" t="s">
        <v>55</v>
      </c>
      <c r="K25">
        <v>18</v>
      </c>
      <c r="L25">
        <v>66</v>
      </c>
      <c r="M25">
        <v>84</v>
      </c>
      <c r="N25" t="s">
        <v>11</v>
      </c>
      <c r="O25">
        <v>1.9E-2</v>
      </c>
      <c r="P25">
        <v>325</v>
      </c>
      <c r="Q25">
        <v>0.1678</v>
      </c>
      <c r="R25">
        <v>1.03</v>
      </c>
      <c r="S25">
        <v>6.14</v>
      </c>
      <c r="T25">
        <v>1.52</v>
      </c>
      <c r="U25">
        <v>-29.08</v>
      </c>
      <c r="V25">
        <v>-29.08</v>
      </c>
    </row>
    <row r="26" spans="1:22" x14ac:dyDescent="0.35">
      <c r="A26" t="s">
        <v>7</v>
      </c>
      <c r="B26" t="s">
        <v>15</v>
      </c>
      <c r="C26">
        <v>370031</v>
      </c>
      <c r="D26">
        <v>20020206</v>
      </c>
      <c r="E26">
        <v>30</v>
      </c>
      <c r="F26">
        <v>37</v>
      </c>
      <c r="G26">
        <f t="shared" si="0"/>
        <v>37.012500000000003</v>
      </c>
      <c r="H26">
        <v>-171.38900000000001</v>
      </c>
      <c r="I26">
        <v>-66.317999999999998</v>
      </c>
      <c r="J26" t="s">
        <v>55</v>
      </c>
      <c r="K26">
        <v>20</v>
      </c>
      <c r="L26">
        <v>19</v>
      </c>
      <c r="M26">
        <v>93</v>
      </c>
      <c r="N26" t="s">
        <v>10</v>
      </c>
      <c r="O26">
        <v>0.2198</v>
      </c>
      <c r="P26">
        <v>308.5</v>
      </c>
      <c r="Q26">
        <v>1.23E-2</v>
      </c>
      <c r="R26">
        <v>7.6999999999999999E-2</v>
      </c>
      <c r="S26">
        <v>6.26</v>
      </c>
      <c r="T26">
        <v>-0.6</v>
      </c>
      <c r="U26">
        <v>-28.51</v>
      </c>
      <c r="V26">
        <v>-28.51</v>
      </c>
    </row>
    <row r="27" spans="1:22" x14ac:dyDescent="0.35">
      <c r="A27" t="s">
        <v>7</v>
      </c>
      <c r="B27" t="s">
        <v>15</v>
      </c>
      <c r="C27">
        <v>370031</v>
      </c>
      <c r="D27">
        <v>20020206</v>
      </c>
      <c r="E27">
        <v>30</v>
      </c>
      <c r="F27">
        <v>37</v>
      </c>
      <c r="G27">
        <f t="shared" si="0"/>
        <v>37.012500000000003</v>
      </c>
      <c r="H27">
        <v>-171.38900000000001</v>
      </c>
      <c r="I27">
        <v>-66.317999999999998</v>
      </c>
      <c r="J27" t="s">
        <v>55</v>
      </c>
      <c r="K27">
        <v>20</v>
      </c>
      <c r="L27">
        <v>19</v>
      </c>
      <c r="M27">
        <v>94</v>
      </c>
      <c r="N27" t="s">
        <v>11</v>
      </c>
      <c r="O27">
        <v>2.8500000000000001E-2</v>
      </c>
      <c r="P27">
        <v>308.5</v>
      </c>
      <c r="Q27">
        <v>0.48520000000000002</v>
      </c>
      <c r="R27">
        <v>2.6150000000000002</v>
      </c>
      <c r="S27">
        <v>5.39</v>
      </c>
      <c r="T27">
        <v>-0.92</v>
      </c>
      <c r="U27">
        <v>-28.86</v>
      </c>
      <c r="V27">
        <v>-28.86</v>
      </c>
    </row>
    <row r="28" spans="1:22" x14ac:dyDescent="0.35">
      <c r="A28" t="s">
        <v>7</v>
      </c>
      <c r="B28" t="s">
        <v>15</v>
      </c>
      <c r="C28">
        <v>370031</v>
      </c>
      <c r="D28">
        <v>20020206</v>
      </c>
      <c r="E28">
        <v>30</v>
      </c>
      <c r="F28">
        <v>37</v>
      </c>
      <c r="G28">
        <f t="shared" si="0"/>
        <v>37.012500000000003</v>
      </c>
      <c r="H28">
        <v>-171.38900000000001</v>
      </c>
      <c r="I28">
        <v>-66.317999999999998</v>
      </c>
      <c r="J28" t="s">
        <v>55</v>
      </c>
      <c r="K28">
        <v>20</v>
      </c>
      <c r="L28">
        <v>82</v>
      </c>
      <c r="M28">
        <v>95</v>
      </c>
      <c r="N28" t="s">
        <v>10</v>
      </c>
      <c r="O28">
        <v>0.20430000000000001</v>
      </c>
      <c r="P28">
        <v>191.9</v>
      </c>
      <c r="Q28">
        <v>1.2999999999999999E-3</v>
      </c>
      <c r="R28">
        <v>1.6E-2</v>
      </c>
      <c r="S28">
        <v>12.34</v>
      </c>
      <c r="T28">
        <v>-1.59</v>
      </c>
      <c r="U28">
        <v>-27.93</v>
      </c>
      <c r="V28">
        <v>-27.93</v>
      </c>
    </row>
    <row r="29" spans="1:22" x14ac:dyDescent="0.35">
      <c r="A29" t="s">
        <v>7</v>
      </c>
      <c r="B29" t="s">
        <v>15</v>
      </c>
      <c r="C29">
        <v>370031</v>
      </c>
      <c r="D29">
        <v>20020206</v>
      </c>
      <c r="E29">
        <v>30</v>
      </c>
      <c r="F29">
        <v>37</v>
      </c>
      <c r="G29">
        <f t="shared" si="0"/>
        <v>37.012500000000003</v>
      </c>
      <c r="H29">
        <v>-171.38900000000001</v>
      </c>
      <c r="I29">
        <v>-66.317999999999998</v>
      </c>
      <c r="J29" t="s">
        <v>55</v>
      </c>
      <c r="K29">
        <v>20</v>
      </c>
      <c r="L29">
        <v>82</v>
      </c>
      <c r="M29">
        <v>96</v>
      </c>
      <c r="N29" t="s">
        <v>11</v>
      </c>
      <c r="O29">
        <v>7.5999999999999998E-2</v>
      </c>
      <c r="P29">
        <v>191</v>
      </c>
      <c r="Q29">
        <v>0.17599999999999999</v>
      </c>
      <c r="R29">
        <v>1.0549999999999999</v>
      </c>
      <c r="S29">
        <v>5.99</v>
      </c>
      <c r="T29">
        <v>3.37</v>
      </c>
      <c r="U29">
        <v>-30.11</v>
      </c>
      <c r="V29">
        <v>-30.11</v>
      </c>
    </row>
    <row r="30" spans="1:22" x14ac:dyDescent="0.35">
      <c r="A30" t="s">
        <v>7</v>
      </c>
      <c r="B30" t="s">
        <v>17</v>
      </c>
      <c r="C30">
        <v>400030</v>
      </c>
      <c r="D30">
        <v>20020209</v>
      </c>
      <c r="E30">
        <v>30</v>
      </c>
      <c r="F30">
        <v>40</v>
      </c>
      <c r="G30">
        <f t="shared" si="0"/>
        <v>40.012500000000003</v>
      </c>
      <c r="H30">
        <v>-172.08799999999999</v>
      </c>
      <c r="I30">
        <v>-66.201999999999998</v>
      </c>
      <c r="J30" t="s">
        <v>55</v>
      </c>
      <c r="K30">
        <v>23</v>
      </c>
      <c r="L30">
        <v>19</v>
      </c>
      <c r="M30">
        <v>112</v>
      </c>
      <c r="N30" t="s">
        <v>10</v>
      </c>
      <c r="O30">
        <v>8.3500000000000005E-2</v>
      </c>
      <c r="P30">
        <v>299</v>
      </c>
      <c r="Q30">
        <v>0.1167</v>
      </c>
      <c r="R30">
        <v>0.75800000000000001</v>
      </c>
      <c r="S30">
        <v>6.5</v>
      </c>
      <c r="T30">
        <v>1.04</v>
      </c>
      <c r="U30">
        <v>-26.99</v>
      </c>
      <c r="V30">
        <v>-26.99</v>
      </c>
    </row>
    <row r="31" spans="1:22" x14ac:dyDescent="0.35">
      <c r="A31" t="s">
        <v>7</v>
      </c>
      <c r="B31" t="s">
        <v>17</v>
      </c>
      <c r="C31">
        <v>400030</v>
      </c>
      <c r="D31">
        <v>20020209</v>
      </c>
      <c r="E31">
        <v>30</v>
      </c>
      <c r="F31">
        <v>40</v>
      </c>
      <c r="G31">
        <f t="shared" si="0"/>
        <v>40.012500000000003</v>
      </c>
      <c r="H31">
        <v>-172.08799999999999</v>
      </c>
      <c r="I31">
        <v>-66.201999999999998</v>
      </c>
      <c r="J31" t="s">
        <v>55</v>
      </c>
      <c r="K31">
        <v>23</v>
      </c>
      <c r="L31">
        <v>19</v>
      </c>
      <c r="M31">
        <v>113</v>
      </c>
      <c r="N31" t="s">
        <v>11</v>
      </c>
      <c r="O31">
        <v>9.4999999999999998E-3</v>
      </c>
      <c r="P31">
        <v>299</v>
      </c>
      <c r="Q31">
        <v>0.67689999999999995</v>
      </c>
      <c r="R31">
        <v>3.6920000000000002</v>
      </c>
      <c r="S31">
        <v>5.45</v>
      </c>
      <c r="T31">
        <v>1.43</v>
      </c>
      <c r="U31">
        <v>-28.77</v>
      </c>
      <c r="V31">
        <v>-28.77</v>
      </c>
    </row>
    <row r="32" spans="1:22" x14ac:dyDescent="0.35">
      <c r="A32" t="s">
        <v>7</v>
      </c>
      <c r="B32" t="s">
        <v>17</v>
      </c>
      <c r="C32">
        <v>400030</v>
      </c>
      <c r="D32">
        <v>20020209</v>
      </c>
      <c r="E32">
        <v>30</v>
      </c>
      <c r="F32">
        <v>40</v>
      </c>
      <c r="G32">
        <f t="shared" si="0"/>
        <v>40.012500000000003</v>
      </c>
      <c r="H32">
        <v>-172.08799999999999</v>
      </c>
      <c r="I32">
        <v>-66.201999999999998</v>
      </c>
      <c r="J32" t="s">
        <v>55</v>
      </c>
      <c r="K32">
        <v>23</v>
      </c>
      <c r="L32">
        <v>67</v>
      </c>
      <c r="M32">
        <v>114</v>
      </c>
      <c r="N32" t="s">
        <v>10</v>
      </c>
      <c r="O32">
        <v>0.2132</v>
      </c>
      <c r="P32">
        <v>283.89999999999998</v>
      </c>
      <c r="Q32">
        <v>6.8999999999999999E-3</v>
      </c>
      <c r="R32">
        <v>4.5999999999999999E-2</v>
      </c>
      <c r="S32">
        <v>6.68</v>
      </c>
      <c r="T32">
        <v>2.83</v>
      </c>
      <c r="U32">
        <v>-29.05</v>
      </c>
      <c r="V32">
        <v>-29.05</v>
      </c>
    </row>
    <row r="33" spans="1:22" x14ac:dyDescent="0.35">
      <c r="A33" t="s">
        <v>7</v>
      </c>
      <c r="B33" t="s">
        <v>17</v>
      </c>
      <c r="C33">
        <v>400030</v>
      </c>
      <c r="D33">
        <v>20020209</v>
      </c>
      <c r="E33">
        <v>30</v>
      </c>
      <c r="F33">
        <v>40</v>
      </c>
      <c r="G33">
        <f t="shared" si="0"/>
        <v>40.012500000000003</v>
      </c>
      <c r="H33">
        <v>-172.08799999999999</v>
      </c>
      <c r="I33">
        <v>-66.201999999999998</v>
      </c>
      <c r="J33" t="s">
        <v>55</v>
      </c>
      <c r="K33">
        <v>23</v>
      </c>
      <c r="L33">
        <v>67</v>
      </c>
      <c r="M33">
        <v>115</v>
      </c>
      <c r="N33" t="s">
        <v>11</v>
      </c>
      <c r="O33">
        <v>5.7000000000000002E-2</v>
      </c>
      <c r="P33">
        <v>283.89999999999998</v>
      </c>
      <c r="Q33">
        <v>0.15859999999999999</v>
      </c>
      <c r="R33">
        <v>0.95499999999999996</v>
      </c>
      <c r="S33">
        <v>6.02</v>
      </c>
      <c r="T33">
        <v>1.94</v>
      </c>
      <c r="U33">
        <v>-29.53</v>
      </c>
      <c r="V33">
        <v>-29.53</v>
      </c>
    </row>
    <row r="34" spans="1:22" x14ac:dyDescent="0.35">
      <c r="A34" t="s">
        <v>7</v>
      </c>
      <c r="B34" t="s">
        <v>16</v>
      </c>
      <c r="C34">
        <v>430020</v>
      </c>
      <c r="D34">
        <v>20020212</v>
      </c>
      <c r="E34">
        <v>20</v>
      </c>
      <c r="F34">
        <v>43</v>
      </c>
      <c r="G34">
        <f t="shared" si="0"/>
        <v>43.008333333333333</v>
      </c>
      <c r="H34">
        <v>-172.065</v>
      </c>
      <c r="I34">
        <v>-66.102000000000004</v>
      </c>
      <c r="J34" t="s">
        <v>55</v>
      </c>
      <c r="K34">
        <v>34</v>
      </c>
      <c r="L34">
        <v>20</v>
      </c>
      <c r="M34">
        <v>136</v>
      </c>
      <c r="N34" t="s">
        <v>10</v>
      </c>
      <c r="O34">
        <v>0.24640000000000001</v>
      </c>
      <c r="P34">
        <v>289.60000000000002</v>
      </c>
      <c r="Q34">
        <v>3.8899999999999997E-2</v>
      </c>
      <c r="R34">
        <v>0.24199999999999999</v>
      </c>
      <c r="S34">
        <v>6.22</v>
      </c>
      <c r="T34">
        <v>0.8</v>
      </c>
      <c r="U34">
        <v>-28.02</v>
      </c>
      <c r="V34">
        <v>-28.02</v>
      </c>
    </row>
    <row r="35" spans="1:22" x14ac:dyDescent="0.35">
      <c r="A35" t="s">
        <v>7</v>
      </c>
      <c r="B35" t="s">
        <v>16</v>
      </c>
      <c r="C35">
        <v>430020</v>
      </c>
      <c r="D35">
        <v>20020212</v>
      </c>
      <c r="E35">
        <v>20</v>
      </c>
      <c r="F35">
        <v>43</v>
      </c>
      <c r="G35">
        <f t="shared" si="0"/>
        <v>43.008333333333333</v>
      </c>
      <c r="H35">
        <v>-172.065</v>
      </c>
      <c r="I35">
        <v>-66.102000000000004</v>
      </c>
      <c r="J35" t="s">
        <v>55</v>
      </c>
      <c r="K35">
        <v>34</v>
      </c>
      <c r="L35">
        <v>20</v>
      </c>
      <c r="M35">
        <v>137</v>
      </c>
      <c r="N35" t="s">
        <v>11</v>
      </c>
      <c r="O35">
        <v>9.4999999999999998E-3</v>
      </c>
      <c r="P35">
        <v>289.60000000000002</v>
      </c>
      <c r="Q35">
        <v>0.77849999999999997</v>
      </c>
      <c r="R35">
        <v>4.282</v>
      </c>
      <c r="S35">
        <v>5.5</v>
      </c>
      <c r="T35">
        <v>0.98</v>
      </c>
      <c r="U35">
        <v>-28.62</v>
      </c>
      <c r="V35">
        <v>-28.62</v>
      </c>
    </row>
    <row r="36" spans="1:22" x14ac:dyDescent="0.35">
      <c r="A36" t="s">
        <v>7</v>
      </c>
      <c r="B36" t="s">
        <v>16</v>
      </c>
      <c r="C36">
        <v>430020</v>
      </c>
      <c r="D36">
        <v>20020212</v>
      </c>
      <c r="E36">
        <v>20</v>
      </c>
      <c r="F36">
        <v>43</v>
      </c>
      <c r="G36">
        <f t="shared" si="0"/>
        <v>43.008333333333333</v>
      </c>
      <c r="H36">
        <v>-172.065</v>
      </c>
      <c r="I36">
        <v>-66.102000000000004</v>
      </c>
      <c r="J36" t="s">
        <v>55</v>
      </c>
      <c r="K36">
        <v>34</v>
      </c>
      <c r="L36">
        <v>78</v>
      </c>
      <c r="M36">
        <v>138</v>
      </c>
      <c r="N36" t="s">
        <v>10</v>
      </c>
      <c r="O36">
        <v>0.24199999999999999</v>
      </c>
      <c r="P36">
        <v>325.2</v>
      </c>
      <c r="Q36">
        <v>5.1999999999999998E-3</v>
      </c>
      <c r="R36">
        <v>4.1000000000000002E-2</v>
      </c>
      <c r="S36">
        <v>7.9</v>
      </c>
      <c r="T36">
        <v>2.85</v>
      </c>
      <c r="U36">
        <v>-29.05</v>
      </c>
      <c r="V36">
        <v>-29.05</v>
      </c>
    </row>
    <row r="37" spans="1:22" x14ac:dyDescent="0.35">
      <c r="A37" t="s">
        <v>7</v>
      </c>
      <c r="B37" t="s">
        <v>16</v>
      </c>
      <c r="C37">
        <v>430020</v>
      </c>
      <c r="D37">
        <v>20020212</v>
      </c>
      <c r="E37">
        <v>20</v>
      </c>
      <c r="F37">
        <v>43</v>
      </c>
      <c r="G37">
        <f t="shared" si="0"/>
        <v>43.008333333333333</v>
      </c>
      <c r="H37">
        <v>-172.065</v>
      </c>
      <c r="I37">
        <v>-66.102000000000004</v>
      </c>
      <c r="J37" t="s">
        <v>55</v>
      </c>
      <c r="K37">
        <v>34</v>
      </c>
      <c r="L37">
        <v>78</v>
      </c>
      <c r="M37">
        <v>139</v>
      </c>
      <c r="N37" t="s">
        <v>11</v>
      </c>
      <c r="O37">
        <v>3.7999999999999999E-2</v>
      </c>
      <c r="P37">
        <v>325.2</v>
      </c>
      <c r="Q37">
        <v>0.1603</v>
      </c>
      <c r="R37">
        <v>1.0429999999999999</v>
      </c>
      <c r="S37">
        <v>6.5</v>
      </c>
      <c r="T37">
        <v>1.44</v>
      </c>
      <c r="U37">
        <v>-29.39</v>
      </c>
      <c r="V37">
        <v>-29.39</v>
      </c>
    </row>
    <row r="38" spans="1:22" x14ac:dyDescent="0.35">
      <c r="A38" t="s">
        <v>7</v>
      </c>
      <c r="B38" t="s">
        <v>13</v>
      </c>
      <c r="C38">
        <v>440105</v>
      </c>
      <c r="D38">
        <v>20020213</v>
      </c>
      <c r="E38">
        <v>105</v>
      </c>
      <c r="F38">
        <v>44</v>
      </c>
      <c r="G38">
        <f t="shared" si="0"/>
        <v>44.043750000000003</v>
      </c>
      <c r="H38">
        <v>-170.999</v>
      </c>
      <c r="I38">
        <v>-66.034000000000006</v>
      </c>
      <c r="J38" t="s">
        <v>55</v>
      </c>
      <c r="K38">
        <v>36</v>
      </c>
      <c r="L38">
        <v>19</v>
      </c>
      <c r="M38">
        <v>148</v>
      </c>
      <c r="N38" t="s">
        <v>10</v>
      </c>
      <c r="O38">
        <v>0.23139999999999999</v>
      </c>
      <c r="P38">
        <v>300.89999999999998</v>
      </c>
      <c r="Q38">
        <v>2.41E-2</v>
      </c>
      <c r="R38">
        <v>0.16400000000000001</v>
      </c>
      <c r="S38">
        <v>6.8</v>
      </c>
      <c r="T38">
        <v>-0.8</v>
      </c>
      <c r="U38">
        <v>-27.95</v>
      </c>
      <c r="V38">
        <v>-27.95</v>
      </c>
    </row>
    <row r="39" spans="1:22" x14ac:dyDescent="0.35">
      <c r="A39" t="s">
        <v>7</v>
      </c>
      <c r="B39" t="s">
        <v>13</v>
      </c>
      <c r="C39">
        <v>440105</v>
      </c>
      <c r="D39">
        <v>20020213</v>
      </c>
      <c r="E39">
        <v>105</v>
      </c>
      <c r="F39">
        <v>44</v>
      </c>
      <c r="G39">
        <f t="shared" si="0"/>
        <v>44.043750000000003</v>
      </c>
      <c r="H39">
        <v>-170.999</v>
      </c>
      <c r="I39">
        <v>-66.034000000000006</v>
      </c>
      <c r="J39" t="s">
        <v>55</v>
      </c>
      <c r="K39">
        <v>36</v>
      </c>
      <c r="L39">
        <v>19</v>
      </c>
      <c r="M39">
        <v>149</v>
      </c>
      <c r="N39" t="s">
        <v>11</v>
      </c>
      <c r="O39">
        <v>3.7999999999999999E-2</v>
      </c>
      <c r="P39">
        <v>300.89999999999998</v>
      </c>
      <c r="Q39">
        <v>0.45739999999999997</v>
      </c>
      <c r="R39">
        <v>2.5760000000000001</v>
      </c>
      <c r="S39">
        <v>5.63</v>
      </c>
      <c r="T39">
        <v>-0.87</v>
      </c>
      <c r="U39">
        <v>-28.97</v>
      </c>
      <c r="V39">
        <v>-28.97</v>
      </c>
    </row>
    <row r="40" spans="1:22" x14ac:dyDescent="0.35">
      <c r="A40" t="s">
        <v>7</v>
      </c>
      <c r="B40" t="s">
        <v>13</v>
      </c>
      <c r="C40">
        <v>440105</v>
      </c>
      <c r="D40">
        <v>20020213</v>
      </c>
      <c r="E40">
        <v>105</v>
      </c>
      <c r="F40">
        <v>44</v>
      </c>
      <c r="G40">
        <f t="shared" si="0"/>
        <v>44.043750000000003</v>
      </c>
      <c r="H40">
        <v>-170.999</v>
      </c>
      <c r="I40">
        <v>-66.034000000000006</v>
      </c>
      <c r="J40" t="s">
        <v>55</v>
      </c>
      <c r="K40">
        <v>36</v>
      </c>
      <c r="L40">
        <v>77</v>
      </c>
      <c r="M40">
        <v>150</v>
      </c>
      <c r="N40" t="s">
        <v>10</v>
      </c>
      <c r="O40">
        <v>0.22770000000000001</v>
      </c>
      <c r="P40">
        <v>379.7</v>
      </c>
      <c r="Q40">
        <v>1.2800000000000001E-2</v>
      </c>
      <c r="R40">
        <v>7.4999999999999997E-2</v>
      </c>
      <c r="S40">
        <v>5.89</v>
      </c>
      <c r="T40">
        <v>2.27</v>
      </c>
      <c r="U40">
        <v>-27.35</v>
      </c>
      <c r="V40">
        <v>-27.35</v>
      </c>
    </row>
    <row r="41" spans="1:22" x14ac:dyDescent="0.35">
      <c r="A41" t="s">
        <v>7</v>
      </c>
      <c r="B41" t="s">
        <v>13</v>
      </c>
      <c r="C41">
        <v>440105</v>
      </c>
      <c r="D41">
        <v>20020213</v>
      </c>
      <c r="E41">
        <v>105</v>
      </c>
      <c r="F41">
        <v>44</v>
      </c>
      <c r="G41">
        <f t="shared" si="0"/>
        <v>44.043750000000003</v>
      </c>
      <c r="H41">
        <v>-170.999</v>
      </c>
      <c r="I41">
        <v>-66.034000000000006</v>
      </c>
      <c r="J41" t="s">
        <v>55</v>
      </c>
      <c r="K41">
        <v>36</v>
      </c>
      <c r="L41">
        <v>77</v>
      </c>
      <c r="M41">
        <v>151</v>
      </c>
      <c r="N41" t="s">
        <v>11</v>
      </c>
      <c r="O41">
        <v>1.9E-2</v>
      </c>
      <c r="P41">
        <v>379.9</v>
      </c>
      <c r="Q41">
        <v>0.1739</v>
      </c>
      <c r="R41">
        <v>1.105</v>
      </c>
      <c r="S41">
        <v>6.35</v>
      </c>
      <c r="T41">
        <v>1.0900000000000001</v>
      </c>
      <c r="U41">
        <v>-29.4</v>
      </c>
      <c r="V41">
        <v>-29.4</v>
      </c>
    </row>
    <row r="42" spans="1:22" x14ac:dyDescent="0.35">
      <c r="A42" t="s">
        <v>7</v>
      </c>
      <c r="B42" t="s">
        <v>16</v>
      </c>
      <c r="C42">
        <v>460030</v>
      </c>
      <c r="D42">
        <v>20020215</v>
      </c>
      <c r="E42">
        <v>30</v>
      </c>
      <c r="F42">
        <v>46</v>
      </c>
      <c r="G42">
        <f t="shared" si="0"/>
        <v>46.012500000000003</v>
      </c>
      <c r="H42">
        <v>-172.18899999999999</v>
      </c>
      <c r="I42">
        <v>-65.950999999999993</v>
      </c>
      <c r="J42" t="s">
        <v>55</v>
      </c>
      <c r="K42">
        <v>43</v>
      </c>
      <c r="L42">
        <v>18</v>
      </c>
      <c r="M42">
        <v>166</v>
      </c>
      <c r="N42" t="s">
        <v>10</v>
      </c>
      <c r="O42">
        <v>0.1031</v>
      </c>
      <c r="P42">
        <v>254</v>
      </c>
      <c r="Q42">
        <v>0.1095</v>
      </c>
      <c r="R42">
        <v>0.65300000000000002</v>
      </c>
      <c r="S42">
        <v>5.96</v>
      </c>
      <c r="T42">
        <v>1.03</v>
      </c>
      <c r="U42">
        <v>-27.22</v>
      </c>
      <c r="V42">
        <v>-27.22</v>
      </c>
    </row>
    <row r="43" spans="1:22" x14ac:dyDescent="0.35">
      <c r="A43" t="s">
        <v>7</v>
      </c>
      <c r="B43" t="s">
        <v>16</v>
      </c>
      <c r="C43">
        <v>460030</v>
      </c>
      <c r="D43">
        <v>20020215</v>
      </c>
      <c r="E43">
        <v>30</v>
      </c>
      <c r="F43">
        <v>46</v>
      </c>
      <c r="G43">
        <f t="shared" si="0"/>
        <v>46.012500000000003</v>
      </c>
      <c r="H43">
        <v>-172.18899999999999</v>
      </c>
      <c r="I43">
        <v>-65.950999999999993</v>
      </c>
      <c r="J43" t="s">
        <v>55</v>
      </c>
      <c r="K43">
        <v>43</v>
      </c>
      <c r="L43">
        <v>18</v>
      </c>
      <c r="M43">
        <v>167</v>
      </c>
      <c r="N43" t="s">
        <v>11</v>
      </c>
      <c r="O43">
        <v>9.4999999999999998E-3</v>
      </c>
      <c r="P43">
        <v>254</v>
      </c>
      <c r="Q43">
        <v>1.0198</v>
      </c>
      <c r="R43">
        <v>5.4210000000000003</v>
      </c>
      <c r="S43">
        <v>5.32</v>
      </c>
      <c r="T43">
        <v>1.54</v>
      </c>
      <c r="U43">
        <v>-27.97</v>
      </c>
      <c r="V43">
        <v>-27.97</v>
      </c>
    </row>
    <row r="44" spans="1:22" x14ac:dyDescent="0.35">
      <c r="A44" t="s">
        <v>7</v>
      </c>
      <c r="B44" t="s">
        <v>16</v>
      </c>
      <c r="C44">
        <v>460030</v>
      </c>
      <c r="D44">
        <v>20020215</v>
      </c>
      <c r="E44">
        <v>30</v>
      </c>
      <c r="F44">
        <v>46</v>
      </c>
      <c r="G44">
        <f t="shared" si="0"/>
        <v>46.012500000000003</v>
      </c>
      <c r="H44">
        <v>-172.18899999999999</v>
      </c>
      <c r="I44">
        <v>-65.950999999999993</v>
      </c>
      <c r="J44" t="s">
        <v>55</v>
      </c>
      <c r="K44">
        <v>43</v>
      </c>
      <c r="L44">
        <v>72</v>
      </c>
      <c r="M44">
        <v>168</v>
      </c>
      <c r="N44" t="s">
        <v>10</v>
      </c>
      <c r="O44">
        <v>0.2306</v>
      </c>
      <c r="P44">
        <v>370.6</v>
      </c>
      <c r="Q44">
        <v>5.8999999999999999E-3</v>
      </c>
      <c r="R44">
        <v>3.6999999999999998E-2</v>
      </c>
      <c r="S44">
        <v>6.25</v>
      </c>
      <c r="T44">
        <v>1.22</v>
      </c>
      <c r="U44">
        <v>-30.12</v>
      </c>
      <c r="V44">
        <v>-30.12</v>
      </c>
    </row>
    <row r="45" spans="1:22" x14ac:dyDescent="0.35">
      <c r="A45" t="s">
        <v>7</v>
      </c>
      <c r="B45" t="s">
        <v>16</v>
      </c>
      <c r="C45">
        <v>460030</v>
      </c>
      <c r="D45">
        <v>20020215</v>
      </c>
      <c r="E45">
        <v>30</v>
      </c>
      <c r="F45">
        <v>46</v>
      </c>
      <c r="G45">
        <f t="shared" si="0"/>
        <v>46.012500000000003</v>
      </c>
      <c r="H45">
        <v>-172.18899999999999</v>
      </c>
      <c r="I45">
        <v>-65.950999999999993</v>
      </c>
      <c r="J45" t="s">
        <v>55</v>
      </c>
      <c r="K45">
        <v>43</v>
      </c>
      <c r="L45">
        <v>72</v>
      </c>
      <c r="M45">
        <v>169</v>
      </c>
      <c r="N45" t="s">
        <v>11</v>
      </c>
      <c r="O45">
        <v>5.7000000000000002E-2</v>
      </c>
      <c r="P45">
        <v>370.6</v>
      </c>
      <c r="Q45">
        <v>0.14249999999999999</v>
      </c>
      <c r="R45">
        <v>0.88900000000000001</v>
      </c>
      <c r="S45">
        <v>6.24</v>
      </c>
      <c r="T45">
        <v>1.49</v>
      </c>
      <c r="U45">
        <v>-29.47</v>
      </c>
      <c r="V45">
        <v>-29.47</v>
      </c>
    </row>
    <row r="46" spans="1:22" x14ac:dyDescent="0.35">
      <c r="A46" t="s">
        <v>7</v>
      </c>
      <c r="B46" t="s">
        <v>12</v>
      </c>
      <c r="C46">
        <v>510330</v>
      </c>
      <c r="D46">
        <v>20020220</v>
      </c>
      <c r="E46">
        <v>330</v>
      </c>
      <c r="F46">
        <v>51</v>
      </c>
      <c r="G46">
        <f t="shared" si="0"/>
        <v>51.137500000000003</v>
      </c>
      <c r="H46">
        <v>-166.94200000000001</v>
      </c>
      <c r="I46">
        <v>-52.451999999999998</v>
      </c>
      <c r="J46" t="s">
        <v>55</v>
      </c>
      <c r="K46">
        <v>44</v>
      </c>
      <c r="L46">
        <v>18</v>
      </c>
      <c r="M46">
        <v>184</v>
      </c>
      <c r="N46" t="s">
        <v>10</v>
      </c>
      <c r="O46">
        <v>0.20549999999999999</v>
      </c>
      <c r="P46">
        <v>361.5</v>
      </c>
      <c r="Q46">
        <v>7.1999999999999998E-3</v>
      </c>
      <c r="R46">
        <v>5.8999999999999997E-2</v>
      </c>
      <c r="S46">
        <v>8.1</v>
      </c>
      <c r="T46">
        <v>-4.8499999999999996</v>
      </c>
      <c r="U46">
        <v>-24.99</v>
      </c>
      <c r="V46">
        <v>-24.99</v>
      </c>
    </row>
    <row r="47" spans="1:22" x14ac:dyDescent="0.35">
      <c r="A47" t="s">
        <v>7</v>
      </c>
      <c r="B47" t="s">
        <v>12</v>
      </c>
      <c r="C47">
        <v>510330</v>
      </c>
      <c r="D47">
        <v>20020220</v>
      </c>
      <c r="E47">
        <v>330</v>
      </c>
      <c r="F47">
        <v>51</v>
      </c>
      <c r="G47">
        <f t="shared" si="0"/>
        <v>51.137500000000003</v>
      </c>
      <c r="H47">
        <v>-166.94200000000001</v>
      </c>
      <c r="I47">
        <v>-52.451999999999998</v>
      </c>
      <c r="J47" t="s">
        <v>55</v>
      </c>
      <c r="K47">
        <v>44</v>
      </c>
      <c r="L47">
        <v>18</v>
      </c>
      <c r="M47">
        <v>185</v>
      </c>
      <c r="N47" t="s">
        <v>11</v>
      </c>
      <c r="O47">
        <v>2.8500000000000001E-2</v>
      </c>
      <c r="P47">
        <v>361.5</v>
      </c>
      <c r="Q47">
        <v>0.22689999999999999</v>
      </c>
      <c r="R47">
        <v>1.601</v>
      </c>
      <c r="S47">
        <v>7.06</v>
      </c>
      <c r="T47">
        <v>-9.33</v>
      </c>
      <c r="U47">
        <v>-24.85</v>
      </c>
      <c r="V47">
        <v>-24.85</v>
      </c>
    </row>
    <row r="48" spans="1:22" x14ac:dyDescent="0.35">
      <c r="A48" t="s">
        <v>7</v>
      </c>
      <c r="B48" t="s">
        <v>12</v>
      </c>
      <c r="C48">
        <v>510330</v>
      </c>
      <c r="D48">
        <v>20020220</v>
      </c>
      <c r="E48">
        <v>330</v>
      </c>
      <c r="F48">
        <v>51</v>
      </c>
      <c r="G48">
        <f t="shared" si="0"/>
        <v>51.137500000000003</v>
      </c>
      <c r="H48">
        <v>-166.94200000000001</v>
      </c>
      <c r="I48">
        <v>-52.451999999999998</v>
      </c>
      <c r="J48" t="s">
        <v>55</v>
      </c>
      <c r="K48">
        <v>44</v>
      </c>
      <c r="L48">
        <v>76</v>
      </c>
      <c r="M48">
        <v>186</v>
      </c>
      <c r="N48" t="s">
        <v>10</v>
      </c>
      <c r="O48">
        <v>0.23530000000000001</v>
      </c>
      <c r="P48">
        <v>365.3</v>
      </c>
      <c r="Q48">
        <v>8.2000000000000007E-3</v>
      </c>
      <c r="R48">
        <v>6.0999999999999999E-2</v>
      </c>
      <c r="S48">
        <v>7.44</v>
      </c>
      <c r="T48">
        <v>-4.74</v>
      </c>
      <c r="U48">
        <v>-21.91</v>
      </c>
      <c r="V48">
        <v>-21.91</v>
      </c>
    </row>
    <row r="49" spans="1:22" x14ac:dyDescent="0.35">
      <c r="A49" t="s">
        <v>7</v>
      </c>
      <c r="B49" t="s">
        <v>12</v>
      </c>
      <c r="C49">
        <v>510330</v>
      </c>
      <c r="D49">
        <v>20020220</v>
      </c>
      <c r="E49">
        <v>330</v>
      </c>
      <c r="F49">
        <v>51</v>
      </c>
      <c r="G49">
        <f t="shared" si="0"/>
        <v>51.137500000000003</v>
      </c>
      <c r="H49">
        <v>-166.94200000000001</v>
      </c>
      <c r="I49">
        <v>-52.451999999999998</v>
      </c>
      <c r="J49" t="s">
        <v>55</v>
      </c>
      <c r="K49">
        <v>44</v>
      </c>
      <c r="L49">
        <v>76</v>
      </c>
      <c r="M49">
        <v>187</v>
      </c>
      <c r="N49" t="s">
        <v>11</v>
      </c>
      <c r="O49">
        <v>1.9E-2</v>
      </c>
      <c r="P49">
        <v>365.3</v>
      </c>
      <c r="Q49">
        <v>0.28089999999999998</v>
      </c>
      <c r="R49">
        <v>1.7410000000000001</v>
      </c>
      <c r="S49">
        <v>6.2</v>
      </c>
      <c r="T49">
        <v>-7.57</v>
      </c>
      <c r="U49">
        <v>-24.9</v>
      </c>
      <c r="V49">
        <v>-24.9</v>
      </c>
    </row>
    <row r="50" spans="1:22" x14ac:dyDescent="0.35">
      <c r="A50" t="s">
        <v>7</v>
      </c>
      <c r="B50" t="s">
        <v>8</v>
      </c>
      <c r="C50">
        <v>520150</v>
      </c>
      <c r="D50">
        <v>20020221</v>
      </c>
      <c r="E50">
        <v>150</v>
      </c>
      <c r="F50">
        <v>52</v>
      </c>
      <c r="G50">
        <f t="shared" si="0"/>
        <v>52.0625</v>
      </c>
      <c r="H50">
        <v>-167.42400000000001</v>
      </c>
      <c r="I50">
        <v>-52.843000000000004</v>
      </c>
      <c r="J50" t="s">
        <v>55</v>
      </c>
      <c r="K50">
        <v>45</v>
      </c>
      <c r="L50">
        <v>25</v>
      </c>
      <c r="M50">
        <v>196</v>
      </c>
      <c r="N50" t="s">
        <v>10</v>
      </c>
      <c r="O50">
        <v>0.22839999999999999</v>
      </c>
      <c r="P50">
        <v>168.5</v>
      </c>
      <c r="Q50">
        <v>3.1699999999999999E-2</v>
      </c>
      <c r="R50">
        <v>0.20899999999999999</v>
      </c>
      <c r="S50">
        <v>6.6</v>
      </c>
      <c r="T50">
        <v>-3.53</v>
      </c>
      <c r="U50">
        <v>-20.03</v>
      </c>
      <c r="V50">
        <v>-20.03</v>
      </c>
    </row>
    <row r="51" spans="1:22" x14ac:dyDescent="0.35">
      <c r="A51" t="s">
        <v>7</v>
      </c>
      <c r="B51" t="s">
        <v>8</v>
      </c>
      <c r="C51">
        <v>520150</v>
      </c>
      <c r="D51">
        <v>20020221</v>
      </c>
      <c r="E51">
        <v>150</v>
      </c>
      <c r="F51">
        <v>52</v>
      </c>
      <c r="G51">
        <f t="shared" si="0"/>
        <v>52.0625</v>
      </c>
      <c r="H51">
        <v>-167.42400000000001</v>
      </c>
      <c r="I51">
        <v>-52.843000000000004</v>
      </c>
      <c r="J51" t="s">
        <v>55</v>
      </c>
      <c r="K51">
        <v>45</v>
      </c>
      <c r="L51">
        <v>25</v>
      </c>
      <c r="M51">
        <v>197</v>
      </c>
      <c r="N51" t="s">
        <v>11</v>
      </c>
      <c r="O51">
        <v>3.7999999999999999E-2</v>
      </c>
      <c r="P51">
        <v>168.5</v>
      </c>
      <c r="Q51">
        <v>0.45779999999999998</v>
      </c>
      <c r="R51">
        <v>2.9350000000000001</v>
      </c>
      <c r="S51">
        <v>6.41</v>
      </c>
      <c r="T51">
        <v>-6.93</v>
      </c>
      <c r="U51">
        <v>-23.66</v>
      </c>
      <c r="V51">
        <v>-23.66</v>
      </c>
    </row>
    <row r="52" spans="1:22" x14ac:dyDescent="0.35">
      <c r="A52" t="s">
        <v>7</v>
      </c>
      <c r="B52" t="s">
        <v>8</v>
      </c>
      <c r="C52">
        <v>520150</v>
      </c>
      <c r="D52">
        <v>20020221</v>
      </c>
      <c r="E52">
        <v>150</v>
      </c>
      <c r="F52">
        <v>52</v>
      </c>
      <c r="G52">
        <f t="shared" si="0"/>
        <v>52.0625</v>
      </c>
      <c r="H52">
        <v>-167.42400000000001</v>
      </c>
      <c r="I52">
        <v>-52.843000000000004</v>
      </c>
      <c r="J52" t="s">
        <v>55</v>
      </c>
      <c r="K52">
        <v>45</v>
      </c>
      <c r="L52">
        <v>48</v>
      </c>
      <c r="M52">
        <v>198</v>
      </c>
      <c r="N52" t="s">
        <v>10</v>
      </c>
      <c r="O52">
        <v>0.22520000000000001</v>
      </c>
      <c r="P52">
        <v>365.3</v>
      </c>
      <c r="Q52">
        <v>1.8499999999999999E-2</v>
      </c>
      <c r="R52">
        <v>0.127</v>
      </c>
      <c r="S52">
        <v>6.86</v>
      </c>
      <c r="T52">
        <v>-4.57</v>
      </c>
      <c r="U52">
        <v>-21.38</v>
      </c>
      <c r="V52">
        <v>-21.38</v>
      </c>
    </row>
    <row r="53" spans="1:22" x14ac:dyDescent="0.35">
      <c r="A53" t="s">
        <v>7</v>
      </c>
      <c r="B53" t="s">
        <v>8</v>
      </c>
      <c r="C53">
        <v>520150</v>
      </c>
      <c r="D53">
        <v>20020221</v>
      </c>
      <c r="E53">
        <v>150</v>
      </c>
      <c r="F53">
        <v>52</v>
      </c>
      <c r="G53">
        <f t="shared" si="0"/>
        <v>52.0625</v>
      </c>
      <c r="H53">
        <v>-167.42400000000001</v>
      </c>
      <c r="I53">
        <v>-52.843000000000004</v>
      </c>
      <c r="J53" t="s">
        <v>55</v>
      </c>
      <c r="K53">
        <v>45</v>
      </c>
      <c r="L53">
        <v>48</v>
      </c>
      <c r="M53">
        <v>199</v>
      </c>
      <c r="N53" t="s">
        <v>11</v>
      </c>
      <c r="O53">
        <v>3.7999999999999999E-2</v>
      </c>
      <c r="P53">
        <v>365.3</v>
      </c>
      <c r="Q53">
        <v>0.25019999999999998</v>
      </c>
      <c r="R53">
        <v>1.5840000000000001</v>
      </c>
      <c r="S53">
        <v>6.33</v>
      </c>
      <c r="T53">
        <v>-7.19</v>
      </c>
      <c r="U53">
        <v>-24.62</v>
      </c>
      <c r="V53">
        <v>-24.62</v>
      </c>
    </row>
    <row r="54" spans="1:22" x14ac:dyDescent="0.35">
      <c r="A54" t="s">
        <v>18</v>
      </c>
      <c r="B54" t="s">
        <v>55</v>
      </c>
      <c r="C54" t="s">
        <v>19</v>
      </c>
      <c r="D54">
        <v>20020213</v>
      </c>
      <c r="E54">
        <v>511</v>
      </c>
      <c r="F54">
        <v>44</v>
      </c>
      <c r="G54">
        <f t="shared" si="0"/>
        <v>44.212916666666665</v>
      </c>
      <c r="H54">
        <v>-179.517</v>
      </c>
      <c r="I54">
        <v>-71.066999999999993</v>
      </c>
      <c r="J54" t="s">
        <v>20</v>
      </c>
      <c r="K54" t="s">
        <v>21</v>
      </c>
      <c r="L54">
        <v>63.2</v>
      </c>
      <c r="M54" t="s">
        <v>22</v>
      </c>
      <c r="N54" t="s">
        <v>10</v>
      </c>
      <c r="O54">
        <v>0.1099</v>
      </c>
      <c r="P54">
        <v>412.6</v>
      </c>
      <c r="Q54">
        <v>5.2699999999999997E-2</v>
      </c>
      <c r="R54">
        <v>0.48699999999999999</v>
      </c>
      <c r="S54">
        <v>9.24</v>
      </c>
      <c r="T54">
        <v>0.41</v>
      </c>
      <c r="U54">
        <v>-32.04</v>
      </c>
      <c r="V54">
        <v>-32.04</v>
      </c>
    </row>
    <row r="55" spans="1:22" x14ac:dyDescent="0.35">
      <c r="A55" t="s">
        <v>18</v>
      </c>
      <c r="B55" t="s">
        <v>55</v>
      </c>
      <c r="C55" t="s">
        <v>19</v>
      </c>
      <c r="D55">
        <v>20020213</v>
      </c>
      <c r="E55">
        <v>511</v>
      </c>
      <c r="F55">
        <v>44</v>
      </c>
      <c r="G55">
        <f t="shared" si="0"/>
        <v>44.212916666666665</v>
      </c>
      <c r="H55">
        <v>-179.517</v>
      </c>
      <c r="I55">
        <v>-71.066999999999993</v>
      </c>
      <c r="J55" t="s">
        <v>20</v>
      </c>
      <c r="K55" t="s">
        <v>21</v>
      </c>
      <c r="L55">
        <v>63.2</v>
      </c>
      <c r="M55">
        <v>4</v>
      </c>
      <c r="N55" t="s">
        <v>11</v>
      </c>
      <c r="O55">
        <v>1.4200000000000001E-2</v>
      </c>
      <c r="P55">
        <v>412.6</v>
      </c>
      <c r="Q55">
        <v>0.32050000000000001</v>
      </c>
      <c r="R55">
        <v>2.056</v>
      </c>
      <c r="S55">
        <v>6.41</v>
      </c>
      <c r="T55">
        <v>-0.83</v>
      </c>
      <c r="U55">
        <v>-30.15</v>
      </c>
      <c r="V55">
        <v>-30.15</v>
      </c>
    </row>
    <row r="56" spans="1:22" x14ac:dyDescent="0.35">
      <c r="A56" t="s">
        <v>18</v>
      </c>
      <c r="B56" t="s">
        <v>23</v>
      </c>
      <c r="C56" t="s">
        <v>24</v>
      </c>
      <c r="D56">
        <v>20020214</v>
      </c>
      <c r="E56">
        <v>2030</v>
      </c>
      <c r="F56">
        <v>45</v>
      </c>
      <c r="G56">
        <f t="shared" si="0"/>
        <v>45.845833333333331</v>
      </c>
      <c r="H56">
        <v>-172.083</v>
      </c>
      <c r="I56">
        <v>-66</v>
      </c>
      <c r="J56" t="s">
        <v>56</v>
      </c>
      <c r="K56" t="s">
        <v>25</v>
      </c>
      <c r="L56">
        <v>13.3</v>
      </c>
      <c r="M56">
        <v>9</v>
      </c>
      <c r="N56" t="s">
        <v>10</v>
      </c>
      <c r="O56">
        <v>0.21970000000000001</v>
      </c>
      <c r="P56">
        <v>232.4</v>
      </c>
      <c r="Q56">
        <v>5.1299999999999998E-2</v>
      </c>
      <c r="R56">
        <v>0.30499999999999999</v>
      </c>
      <c r="S56">
        <v>5.94</v>
      </c>
      <c r="T56">
        <v>0.62</v>
      </c>
      <c r="U56">
        <v>-26.8</v>
      </c>
      <c r="V56">
        <v>-26.8</v>
      </c>
    </row>
    <row r="57" spans="1:22" x14ac:dyDescent="0.35">
      <c r="A57" t="s">
        <v>18</v>
      </c>
      <c r="B57" t="s">
        <v>23</v>
      </c>
      <c r="C57" t="s">
        <v>24</v>
      </c>
      <c r="D57">
        <v>20020214</v>
      </c>
      <c r="E57">
        <v>2030</v>
      </c>
      <c r="F57">
        <v>45</v>
      </c>
      <c r="G57">
        <f t="shared" si="0"/>
        <v>45.845833333333331</v>
      </c>
      <c r="H57">
        <v>-172.083</v>
      </c>
      <c r="I57">
        <v>-66</v>
      </c>
      <c r="J57" t="s">
        <v>56</v>
      </c>
      <c r="K57" t="s">
        <v>25</v>
      </c>
      <c r="L57">
        <v>13.3</v>
      </c>
      <c r="M57">
        <v>10</v>
      </c>
      <c r="N57" t="s">
        <v>11</v>
      </c>
      <c r="O57">
        <v>1.4200000000000001E-2</v>
      </c>
      <c r="P57">
        <v>232.4</v>
      </c>
      <c r="Q57">
        <v>0.78159999999999996</v>
      </c>
      <c r="R57">
        <v>4.2619999999999996</v>
      </c>
      <c r="S57">
        <v>5.45</v>
      </c>
      <c r="T57">
        <v>1.03</v>
      </c>
      <c r="U57">
        <v>-28.04</v>
      </c>
      <c r="V57">
        <v>-28.04</v>
      </c>
    </row>
    <row r="58" spans="1:22" x14ac:dyDescent="0.35">
      <c r="A58" t="s">
        <v>18</v>
      </c>
      <c r="B58" t="s">
        <v>23</v>
      </c>
      <c r="C58" t="s">
        <v>24</v>
      </c>
      <c r="D58">
        <v>20020214</v>
      </c>
      <c r="E58">
        <v>2030</v>
      </c>
      <c r="F58">
        <v>45</v>
      </c>
      <c r="G58">
        <f t="shared" si="0"/>
        <v>45.845833333333331</v>
      </c>
      <c r="H58">
        <v>-172.083</v>
      </c>
      <c r="I58">
        <v>-66</v>
      </c>
      <c r="J58" t="s">
        <v>56</v>
      </c>
      <c r="K58" t="s">
        <v>25</v>
      </c>
      <c r="L58">
        <v>68.3</v>
      </c>
      <c r="M58">
        <v>13</v>
      </c>
      <c r="N58" t="s">
        <v>10</v>
      </c>
      <c r="O58">
        <v>0.2167</v>
      </c>
      <c r="P58">
        <v>310</v>
      </c>
      <c r="Q58">
        <v>8.6E-3</v>
      </c>
      <c r="R58">
        <v>5.5E-2</v>
      </c>
      <c r="S58">
        <v>6.43</v>
      </c>
      <c r="T58">
        <v>2.12</v>
      </c>
      <c r="U58">
        <v>-28.59</v>
      </c>
      <c r="V58">
        <v>-28.59</v>
      </c>
    </row>
    <row r="59" spans="1:22" x14ac:dyDescent="0.35">
      <c r="A59" t="s">
        <v>18</v>
      </c>
      <c r="B59" t="s">
        <v>23</v>
      </c>
      <c r="C59" t="s">
        <v>24</v>
      </c>
      <c r="D59">
        <v>20020214</v>
      </c>
      <c r="E59">
        <v>2030</v>
      </c>
      <c r="F59">
        <v>45</v>
      </c>
      <c r="G59">
        <f t="shared" si="0"/>
        <v>45.845833333333331</v>
      </c>
      <c r="H59">
        <v>-172.083</v>
      </c>
      <c r="I59">
        <v>-66</v>
      </c>
      <c r="J59" t="s">
        <v>56</v>
      </c>
      <c r="K59" t="s">
        <v>25</v>
      </c>
      <c r="L59">
        <v>68.3</v>
      </c>
      <c r="M59">
        <v>14</v>
      </c>
      <c r="N59" t="s">
        <v>11</v>
      </c>
      <c r="O59">
        <v>1.9E-2</v>
      </c>
      <c r="P59">
        <v>310</v>
      </c>
      <c r="Q59">
        <v>0.30759999999999998</v>
      </c>
      <c r="R59">
        <v>1.8280000000000001</v>
      </c>
      <c r="S59">
        <v>5.94</v>
      </c>
      <c r="T59">
        <v>0.49</v>
      </c>
      <c r="U59">
        <v>-28.71</v>
      </c>
      <c r="V59">
        <v>-28.71</v>
      </c>
    </row>
    <row r="60" spans="1:22" x14ac:dyDescent="0.35">
      <c r="A60" t="s">
        <v>18</v>
      </c>
      <c r="B60" t="s">
        <v>23</v>
      </c>
      <c r="C60" t="s">
        <v>26</v>
      </c>
      <c r="D60">
        <v>20020215</v>
      </c>
      <c r="E60">
        <v>330</v>
      </c>
      <c r="F60">
        <v>46</v>
      </c>
      <c r="G60">
        <f t="shared" si="0"/>
        <v>46.137500000000003</v>
      </c>
      <c r="H60">
        <v>-171.96899999999999</v>
      </c>
      <c r="I60">
        <v>-65.903000000000006</v>
      </c>
      <c r="J60" t="s">
        <v>27</v>
      </c>
      <c r="K60" t="s">
        <v>28</v>
      </c>
      <c r="L60">
        <v>47.9</v>
      </c>
      <c r="M60">
        <v>24</v>
      </c>
      <c r="N60" t="s">
        <v>10</v>
      </c>
      <c r="O60">
        <v>8.5999999999999993E-2</v>
      </c>
      <c r="P60">
        <v>473.9</v>
      </c>
      <c r="Q60">
        <v>0.14480000000000001</v>
      </c>
      <c r="R60">
        <v>0.84099999999999997</v>
      </c>
      <c r="S60">
        <v>5.8</v>
      </c>
      <c r="T60">
        <v>0.59</v>
      </c>
      <c r="U60">
        <v>-26.41</v>
      </c>
      <c r="V60">
        <v>-26.41</v>
      </c>
    </row>
    <row r="61" spans="1:22" x14ac:dyDescent="0.35">
      <c r="A61" t="s">
        <v>18</v>
      </c>
      <c r="B61" t="s">
        <v>23</v>
      </c>
      <c r="C61" t="s">
        <v>26</v>
      </c>
      <c r="D61">
        <v>20020215</v>
      </c>
      <c r="E61">
        <v>330</v>
      </c>
      <c r="F61">
        <v>46</v>
      </c>
      <c r="G61">
        <f t="shared" si="0"/>
        <v>46.137500000000003</v>
      </c>
      <c r="H61">
        <v>-171.96899999999999</v>
      </c>
      <c r="I61">
        <v>-65.903000000000006</v>
      </c>
      <c r="J61" t="s">
        <v>27</v>
      </c>
      <c r="K61" t="s">
        <v>28</v>
      </c>
      <c r="L61">
        <v>47.9</v>
      </c>
      <c r="M61">
        <v>25</v>
      </c>
      <c r="N61" t="s">
        <v>11</v>
      </c>
      <c r="O61">
        <v>9.4999999999999998E-3</v>
      </c>
      <c r="P61">
        <v>473.9</v>
      </c>
      <c r="Q61">
        <v>0.52</v>
      </c>
      <c r="R61">
        <v>2.8849999999999998</v>
      </c>
      <c r="S61">
        <v>5.55</v>
      </c>
      <c r="T61">
        <v>0.75</v>
      </c>
      <c r="U61">
        <v>-28.48</v>
      </c>
      <c r="V61">
        <v>-28.48</v>
      </c>
    </row>
    <row r="62" spans="1:22" x14ac:dyDescent="0.35">
      <c r="A62" t="s">
        <v>18</v>
      </c>
      <c r="B62" t="s">
        <v>23</v>
      </c>
      <c r="C62" t="s">
        <v>26</v>
      </c>
      <c r="D62">
        <v>20020215</v>
      </c>
      <c r="E62">
        <v>330</v>
      </c>
      <c r="F62">
        <v>46</v>
      </c>
      <c r="G62">
        <f t="shared" si="0"/>
        <v>46.137500000000003</v>
      </c>
      <c r="H62">
        <v>-171.96899999999999</v>
      </c>
      <c r="I62">
        <v>-65.903000000000006</v>
      </c>
      <c r="J62" t="s">
        <v>27</v>
      </c>
      <c r="K62" t="s">
        <v>28</v>
      </c>
      <c r="L62">
        <v>122.9</v>
      </c>
      <c r="M62">
        <v>28</v>
      </c>
      <c r="N62" t="s">
        <v>10</v>
      </c>
      <c r="O62">
        <v>0.23930000000000001</v>
      </c>
      <c r="P62">
        <v>461.8</v>
      </c>
      <c r="Q62">
        <v>4.8999999999999998E-3</v>
      </c>
      <c r="R62">
        <v>3.7999999999999999E-2</v>
      </c>
      <c r="S62">
        <v>7.76</v>
      </c>
      <c r="T62">
        <v>1.97</v>
      </c>
      <c r="U62">
        <v>-28.58</v>
      </c>
      <c r="V62">
        <v>-28.58</v>
      </c>
    </row>
    <row r="63" spans="1:22" x14ac:dyDescent="0.35">
      <c r="A63" t="s">
        <v>18</v>
      </c>
      <c r="B63" t="s">
        <v>23</v>
      </c>
      <c r="C63" t="s">
        <v>26</v>
      </c>
      <c r="D63">
        <v>20020215</v>
      </c>
      <c r="E63">
        <v>330</v>
      </c>
      <c r="F63">
        <v>46</v>
      </c>
      <c r="G63">
        <f t="shared" si="0"/>
        <v>46.137500000000003</v>
      </c>
      <c r="H63">
        <v>-171.96899999999999</v>
      </c>
      <c r="I63">
        <v>-65.903000000000006</v>
      </c>
      <c r="J63" t="s">
        <v>27</v>
      </c>
      <c r="K63" t="s">
        <v>28</v>
      </c>
      <c r="L63">
        <v>122.9</v>
      </c>
      <c r="M63">
        <v>29</v>
      </c>
      <c r="N63" t="s">
        <v>11</v>
      </c>
      <c r="O63">
        <v>5.7000000000000002E-2</v>
      </c>
      <c r="P63">
        <v>461.8</v>
      </c>
      <c r="Q63">
        <v>8.3000000000000004E-2</v>
      </c>
      <c r="R63">
        <v>0.54800000000000004</v>
      </c>
      <c r="S63">
        <v>6.59</v>
      </c>
      <c r="T63">
        <v>3.07</v>
      </c>
      <c r="U63">
        <v>-28.62</v>
      </c>
      <c r="V63">
        <v>-28.62</v>
      </c>
    </row>
    <row r="64" spans="1:22" x14ac:dyDescent="0.35">
      <c r="A64" t="s">
        <v>18</v>
      </c>
      <c r="B64" t="s">
        <v>23</v>
      </c>
      <c r="C64" t="s">
        <v>29</v>
      </c>
      <c r="D64">
        <v>20020217</v>
      </c>
      <c r="E64">
        <v>215</v>
      </c>
      <c r="F64">
        <v>48</v>
      </c>
      <c r="G64">
        <f t="shared" si="0"/>
        <v>48.08958333333333</v>
      </c>
      <c r="H64">
        <v>-172.22300000000001</v>
      </c>
      <c r="I64">
        <v>-65.897999999999996</v>
      </c>
      <c r="J64" t="s">
        <v>30</v>
      </c>
      <c r="K64" t="s">
        <v>31</v>
      </c>
      <c r="L64">
        <v>71.959999999999994</v>
      </c>
      <c r="M64">
        <v>54</v>
      </c>
      <c r="N64" t="s">
        <v>10</v>
      </c>
      <c r="O64">
        <v>0.2019</v>
      </c>
      <c r="P64">
        <v>503.8</v>
      </c>
      <c r="Q64">
        <v>8.9999999999999998E-4</v>
      </c>
      <c r="R64">
        <v>8.9999999999999993E-3</v>
      </c>
      <c r="S64">
        <v>9.59</v>
      </c>
      <c r="T64">
        <v>3.31</v>
      </c>
      <c r="U64">
        <v>-28.4</v>
      </c>
      <c r="V64">
        <v>-28.4</v>
      </c>
    </row>
    <row r="65" spans="1:22" x14ac:dyDescent="0.35">
      <c r="A65" t="s">
        <v>18</v>
      </c>
      <c r="B65" t="s">
        <v>23</v>
      </c>
      <c r="C65" t="s">
        <v>29</v>
      </c>
      <c r="D65">
        <v>20020217</v>
      </c>
      <c r="E65">
        <v>215</v>
      </c>
      <c r="F65">
        <v>48</v>
      </c>
      <c r="G65">
        <f t="shared" si="0"/>
        <v>48.08958333333333</v>
      </c>
      <c r="H65">
        <v>-172.22300000000001</v>
      </c>
      <c r="I65">
        <v>-65.897999999999996</v>
      </c>
      <c r="J65" t="s">
        <v>30</v>
      </c>
      <c r="K65" t="s">
        <v>31</v>
      </c>
      <c r="L65">
        <v>71.959999999999994</v>
      </c>
      <c r="M65">
        <v>55</v>
      </c>
      <c r="N65" t="s">
        <v>11</v>
      </c>
      <c r="O65">
        <v>7.5999999999999998E-2</v>
      </c>
      <c r="P65">
        <v>503.8</v>
      </c>
      <c r="Q65">
        <v>2.2499999999999999E-2</v>
      </c>
      <c r="R65">
        <v>0.159</v>
      </c>
      <c r="S65">
        <v>7.09</v>
      </c>
      <c r="T65">
        <v>1.46</v>
      </c>
      <c r="U65">
        <v>-27.24</v>
      </c>
      <c r="V65">
        <v>-27.24</v>
      </c>
    </row>
    <row r="66" spans="1:22" x14ac:dyDescent="0.35">
      <c r="A66" t="s">
        <v>18</v>
      </c>
      <c r="B66" t="s">
        <v>23</v>
      </c>
      <c r="C66" t="s">
        <v>29</v>
      </c>
      <c r="D66">
        <v>20020217</v>
      </c>
      <c r="E66">
        <v>215</v>
      </c>
      <c r="F66">
        <v>48</v>
      </c>
      <c r="G66">
        <f t="shared" si="0"/>
        <v>48.08958333333333</v>
      </c>
      <c r="H66">
        <v>-172.22300000000001</v>
      </c>
      <c r="I66">
        <v>-65.897999999999996</v>
      </c>
      <c r="J66" t="s">
        <v>30</v>
      </c>
      <c r="K66" t="s">
        <v>31</v>
      </c>
      <c r="L66">
        <v>17</v>
      </c>
      <c r="M66">
        <v>56</v>
      </c>
      <c r="N66" t="s">
        <v>10</v>
      </c>
      <c r="O66">
        <v>6.6199999999999995E-2</v>
      </c>
      <c r="P66">
        <v>434.1</v>
      </c>
      <c r="Q66">
        <v>0.16089999999999999</v>
      </c>
      <c r="R66">
        <v>0.95799999999999996</v>
      </c>
      <c r="S66">
        <v>5.95</v>
      </c>
      <c r="T66">
        <v>0.72</v>
      </c>
      <c r="U66">
        <v>-26.89</v>
      </c>
      <c r="V66">
        <v>-26.89</v>
      </c>
    </row>
    <row r="67" spans="1:22" x14ac:dyDescent="0.35">
      <c r="A67" t="s">
        <v>18</v>
      </c>
      <c r="B67" t="s">
        <v>23</v>
      </c>
      <c r="C67" t="s">
        <v>29</v>
      </c>
      <c r="D67">
        <v>20020217</v>
      </c>
      <c r="E67">
        <v>215</v>
      </c>
      <c r="F67">
        <v>48</v>
      </c>
      <c r="G67">
        <f t="shared" ref="G67:G100" si="1">F67+E67/2400</f>
        <v>48.08958333333333</v>
      </c>
      <c r="H67">
        <v>-172.22300000000001</v>
      </c>
      <c r="I67">
        <v>-65.897999999999996</v>
      </c>
      <c r="J67" t="s">
        <v>30</v>
      </c>
      <c r="K67" t="s">
        <v>31</v>
      </c>
      <c r="L67">
        <v>17</v>
      </c>
      <c r="M67">
        <v>57</v>
      </c>
      <c r="N67" t="s">
        <v>11</v>
      </c>
      <c r="O67">
        <v>9.4999999999999998E-3</v>
      </c>
      <c r="P67">
        <v>434.1</v>
      </c>
      <c r="Q67">
        <v>0.67649999999999999</v>
      </c>
      <c r="R67">
        <v>3.6190000000000002</v>
      </c>
      <c r="S67">
        <v>5.35</v>
      </c>
      <c r="T67">
        <v>1</v>
      </c>
      <c r="U67">
        <v>-27.88</v>
      </c>
      <c r="V67">
        <v>-27.88</v>
      </c>
    </row>
    <row r="68" spans="1:22" x14ac:dyDescent="0.35">
      <c r="A68" t="s">
        <v>18</v>
      </c>
      <c r="B68" t="s">
        <v>32</v>
      </c>
      <c r="C68" t="s">
        <v>33</v>
      </c>
      <c r="D68">
        <v>20020217</v>
      </c>
      <c r="E68">
        <v>2215</v>
      </c>
      <c r="F68">
        <v>48</v>
      </c>
      <c r="G68">
        <f t="shared" si="1"/>
        <v>48.922916666666666</v>
      </c>
      <c r="H68">
        <v>-172.631</v>
      </c>
      <c r="I68">
        <v>-66.171999999999997</v>
      </c>
      <c r="J68" t="s">
        <v>34</v>
      </c>
      <c r="K68" t="s">
        <v>35</v>
      </c>
      <c r="L68">
        <v>71.900000000000006</v>
      </c>
      <c r="M68">
        <v>61</v>
      </c>
      <c r="N68" t="s">
        <v>10</v>
      </c>
      <c r="O68">
        <v>0.22320000000000001</v>
      </c>
      <c r="P68">
        <v>431.1</v>
      </c>
      <c r="Q68">
        <v>2.18E-2</v>
      </c>
      <c r="R68">
        <v>0.13600000000000001</v>
      </c>
      <c r="S68">
        <v>6.25</v>
      </c>
      <c r="T68">
        <v>0.81</v>
      </c>
      <c r="U68">
        <v>-28.76</v>
      </c>
      <c r="V68">
        <v>-28.76</v>
      </c>
    </row>
    <row r="69" spans="1:22" x14ac:dyDescent="0.35">
      <c r="A69" t="s">
        <v>18</v>
      </c>
      <c r="B69" t="s">
        <v>32</v>
      </c>
      <c r="C69" t="s">
        <v>33</v>
      </c>
      <c r="D69">
        <v>20020217</v>
      </c>
      <c r="E69">
        <v>2215</v>
      </c>
      <c r="F69">
        <v>48</v>
      </c>
      <c r="G69">
        <f t="shared" si="1"/>
        <v>48.922916666666666</v>
      </c>
      <c r="H69">
        <v>-172.631</v>
      </c>
      <c r="I69">
        <v>-66.171999999999997</v>
      </c>
      <c r="J69" t="s">
        <v>34</v>
      </c>
      <c r="K69" t="s">
        <v>35</v>
      </c>
      <c r="L69">
        <v>71.900000000000006</v>
      </c>
      <c r="M69">
        <v>62</v>
      </c>
      <c r="N69" t="s">
        <v>11</v>
      </c>
      <c r="O69">
        <v>9.4999999999999998E-3</v>
      </c>
      <c r="P69">
        <v>431.1</v>
      </c>
      <c r="Q69">
        <v>0.3589</v>
      </c>
      <c r="R69">
        <v>1.988</v>
      </c>
      <c r="S69">
        <v>5.54</v>
      </c>
      <c r="T69">
        <v>0.09</v>
      </c>
      <c r="U69">
        <v>-28.3</v>
      </c>
      <c r="V69">
        <v>-28.3</v>
      </c>
    </row>
    <row r="70" spans="1:22" x14ac:dyDescent="0.35">
      <c r="A70" t="s">
        <v>18</v>
      </c>
      <c r="B70" t="s">
        <v>32</v>
      </c>
      <c r="C70" t="s">
        <v>33</v>
      </c>
      <c r="D70">
        <v>20020217</v>
      </c>
      <c r="E70">
        <v>2215</v>
      </c>
      <c r="F70">
        <v>48</v>
      </c>
      <c r="G70">
        <f t="shared" si="1"/>
        <v>48.922916666666666</v>
      </c>
      <c r="H70">
        <v>-172.631</v>
      </c>
      <c r="I70">
        <v>-66.171999999999997</v>
      </c>
      <c r="J70" t="s">
        <v>34</v>
      </c>
      <c r="K70" t="s">
        <v>35</v>
      </c>
      <c r="L70">
        <v>16.899999999999999</v>
      </c>
      <c r="M70">
        <v>63</v>
      </c>
      <c r="N70" t="s">
        <v>10</v>
      </c>
      <c r="O70">
        <v>4.99E-2</v>
      </c>
      <c r="P70">
        <v>421.3</v>
      </c>
      <c r="Q70">
        <v>0.1084</v>
      </c>
      <c r="R70">
        <v>0.68500000000000005</v>
      </c>
      <c r="S70">
        <v>6.32</v>
      </c>
      <c r="T70">
        <v>-0.25</v>
      </c>
      <c r="U70">
        <v>-29.16</v>
      </c>
      <c r="V70">
        <v>-29.16</v>
      </c>
    </row>
    <row r="71" spans="1:22" x14ac:dyDescent="0.35">
      <c r="A71" t="s">
        <v>18</v>
      </c>
      <c r="B71" t="s">
        <v>32</v>
      </c>
      <c r="C71" t="s">
        <v>33</v>
      </c>
      <c r="D71">
        <v>20020217</v>
      </c>
      <c r="E71">
        <v>2215</v>
      </c>
      <c r="F71">
        <v>48</v>
      </c>
      <c r="G71">
        <f t="shared" si="1"/>
        <v>48.922916666666666</v>
      </c>
      <c r="H71">
        <v>-172.631</v>
      </c>
      <c r="I71">
        <v>-66.171999999999997</v>
      </c>
      <c r="J71" t="s">
        <v>34</v>
      </c>
      <c r="K71" t="s">
        <v>35</v>
      </c>
      <c r="L71">
        <v>16.899999999999999</v>
      </c>
      <c r="M71">
        <v>64</v>
      </c>
      <c r="N71" t="s">
        <v>11</v>
      </c>
      <c r="O71">
        <v>1.9E-2</v>
      </c>
      <c r="P71">
        <v>421.3</v>
      </c>
      <c r="Q71">
        <v>0.36980000000000002</v>
      </c>
      <c r="R71">
        <v>2.129</v>
      </c>
      <c r="S71">
        <v>5.76</v>
      </c>
      <c r="T71">
        <v>0.57999999999999996</v>
      </c>
      <c r="U71">
        <v>-28.98</v>
      </c>
      <c r="V71">
        <v>-28.98</v>
      </c>
    </row>
    <row r="72" spans="1:22" x14ac:dyDescent="0.35">
      <c r="A72" t="s">
        <v>18</v>
      </c>
      <c r="B72" t="s">
        <v>32</v>
      </c>
      <c r="C72" t="s">
        <v>36</v>
      </c>
      <c r="D72">
        <v>20020218</v>
      </c>
      <c r="E72">
        <v>345</v>
      </c>
      <c r="F72">
        <v>49</v>
      </c>
      <c r="G72">
        <f t="shared" si="1"/>
        <v>49.143749999999997</v>
      </c>
      <c r="H72">
        <v>-172.98599999999999</v>
      </c>
      <c r="I72">
        <v>-66.582999999999998</v>
      </c>
      <c r="J72" t="s">
        <v>37</v>
      </c>
      <c r="K72" t="s">
        <v>38</v>
      </c>
      <c r="L72">
        <v>68.8</v>
      </c>
      <c r="M72">
        <v>73</v>
      </c>
      <c r="N72" t="s">
        <v>10</v>
      </c>
      <c r="O72">
        <v>0.2016</v>
      </c>
      <c r="P72">
        <v>441</v>
      </c>
      <c r="Q72">
        <v>2.9399999999999999E-2</v>
      </c>
      <c r="R72">
        <v>0.193</v>
      </c>
      <c r="S72">
        <v>6.58</v>
      </c>
      <c r="T72">
        <v>-0.18</v>
      </c>
      <c r="U72">
        <v>-28.22</v>
      </c>
      <c r="V72">
        <v>-28.22</v>
      </c>
    </row>
    <row r="73" spans="1:22" x14ac:dyDescent="0.35">
      <c r="A73" t="s">
        <v>18</v>
      </c>
      <c r="B73" t="s">
        <v>32</v>
      </c>
      <c r="C73" t="s">
        <v>36</v>
      </c>
      <c r="D73">
        <v>20020218</v>
      </c>
      <c r="E73">
        <v>345</v>
      </c>
      <c r="F73">
        <v>49</v>
      </c>
      <c r="G73">
        <f t="shared" si="1"/>
        <v>49.143749999999997</v>
      </c>
      <c r="H73">
        <v>-172.98599999999999</v>
      </c>
      <c r="I73">
        <v>-66.582999999999998</v>
      </c>
      <c r="J73" t="s">
        <v>37</v>
      </c>
      <c r="K73" t="s">
        <v>38</v>
      </c>
      <c r="L73">
        <v>68.8</v>
      </c>
      <c r="M73">
        <v>74</v>
      </c>
      <c r="N73" t="s">
        <v>11</v>
      </c>
      <c r="O73">
        <v>1.4200000000000001E-2</v>
      </c>
      <c r="P73">
        <v>441</v>
      </c>
      <c r="Q73">
        <v>0.23230000000000001</v>
      </c>
      <c r="R73">
        <v>1.393</v>
      </c>
      <c r="S73">
        <v>6</v>
      </c>
      <c r="T73">
        <v>0.41</v>
      </c>
      <c r="U73">
        <v>-28.45</v>
      </c>
      <c r="V73">
        <v>-28.45</v>
      </c>
    </row>
    <row r="74" spans="1:22" x14ac:dyDescent="0.35">
      <c r="A74" t="s">
        <v>18</v>
      </c>
      <c r="B74" t="s">
        <v>32</v>
      </c>
      <c r="C74" t="s">
        <v>36</v>
      </c>
      <c r="D74">
        <v>20020218</v>
      </c>
      <c r="E74">
        <v>345</v>
      </c>
      <c r="F74">
        <v>49</v>
      </c>
      <c r="G74">
        <f t="shared" si="1"/>
        <v>49.143749999999997</v>
      </c>
      <c r="H74">
        <v>-172.98599999999999</v>
      </c>
      <c r="I74">
        <v>-66.582999999999998</v>
      </c>
      <c r="J74" t="s">
        <v>37</v>
      </c>
      <c r="K74" t="s">
        <v>38</v>
      </c>
      <c r="L74">
        <v>13.8</v>
      </c>
      <c r="M74">
        <v>75</v>
      </c>
      <c r="N74" t="s">
        <v>10</v>
      </c>
      <c r="O74">
        <v>7.4399999999999994E-2</v>
      </c>
      <c r="P74">
        <v>468.6</v>
      </c>
      <c r="Q74">
        <v>0.12790000000000001</v>
      </c>
      <c r="R74">
        <v>0.81499999999999995</v>
      </c>
      <c r="S74">
        <v>6.38</v>
      </c>
      <c r="T74">
        <v>-0.14000000000000001</v>
      </c>
      <c r="U74">
        <v>-28.66</v>
      </c>
      <c r="V74">
        <v>-28.66</v>
      </c>
    </row>
    <row r="75" spans="1:22" x14ac:dyDescent="0.35">
      <c r="A75" t="s">
        <v>18</v>
      </c>
      <c r="B75" t="s">
        <v>32</v>
      </c>
      <c r="C75" t="s">
        <v>36</v>
      </c>
      <c r="D75">
        <v>20020218</v>
      </c>
      <c r="E75">
        <v>345</v>
      </c>
      <c r="F75">
        <v>49</v>
      </c>
      <c r="G75">
        <f t="shared" si="1"/>
        <v>49.143749999999997</v>
      </c>
      <c r="H75">
        <v>-172.98599999999999</v>
      </c>
      <c r="I75">
        <v>-66.582999999999998</v>
      </c>
      <c r="J75" t="s">
        <v>37</v>
      </c>
      <c r="K75" t="s">
        <v>38</v>
      </c>
      <c r="L75">
        <v>13.8</v>
      </c>
      <c r="M75">
        <v>76</v>
      </c>
      <c r="N75" t="s">
        <v>11</v>
      </c>
      <c r="O75">
        <v>2.8500000000000001E-2</v>
      </c>
      <c r="P75">
        <v>468.6</v>
      </c>
      <c r="Q75">
        <v>0.28660000000000002</v>
      </c>
      <c r="R75">
        <v>1.6819999999999999</v>
      </c>
      <c r="S75">
        <v>5.87</v>
      </c>
      <c r="T75">
        <v>0.74</v>
      </c>
      <c r="U75">
        <v>-29.02</v>
      </c>
      <c r="V75">
        <v>-29.02</v>
      </c>
    </row>
    <row r="76" spans="1:22" x14ac:dyDescent="0.35">
      <c r="A76" t="s">
        <v>18</v>
      </c>
      <c r="B76" t="s">
        <v>32</v>
      </c>
      <c r="C76" t="s">
        <v>39</v>
      </c>
      <c r="D76">
        <v>20020218</v>
      </c>
      <c r="E76">
        <v>2225</v>
      </c>
      <c r="F76">
        <v>49</v>
      </c>
      <c r="G76">
        <f t="shared" si="1"/>
        <v>49.927083333333336</v>
      </c>
      <c r="H76">
        <v>-172.71700000000001</v>
      </c>
      <c r="I76">
        <v>-65.25</v>
      </c>
      <c r="J76" t="s">
        <v>55</v>
      </c>
      <c r="K76" t="s">
        <v>40</v>
      </c>
      <c r="L76">
        <v>71</v>
      </c>
      <c r="M76">
        <v>93</v>
      </c>
      <c r="N76" t="s">
        <v>10</v>
      </c>
      <c r="O76">
        <v>0.1968</v>
      </c>
      <c r="P76">
        <v>439.4</v>
      </c>
      <c r="Q76">
        <v>8.3000000000000001E-3</v>
      </c>
      <c r="R76">
        <v>6.2E-2</v>
      </c>
      <c r="S76">
        <v>7.53</v>
      </c>
      <c r="T76">
        <v>0.9</v>
      </c>
      <c r="U76">
        <v>-26.82</v>
      </c>
      <c r="V76">
        <v>-26.82</v>
      </c>
    </row>
    <row r="77" spans="1:22" x14ac:dyDescent="0.35">
      <c r="A77" t="s">
        <v>18</v>
      </c>
      <c r="B77" t="s">
        <v>32</v>
      </c>
      <c r="C77" t="s">
        <v>39</v>
      </c>
      <c r="D77">
        <v>20020218</v>
      </c>
      <c r="E77">
        <v>2225</v>
      </c>
      <c r="F77">
        <v>49</v>
      </c>
      <c r="G77">
        <f t="shared" si="1"/>
        <v>49.927083333333336</v>
      </c>
      <c r="H77">
        <v>-172.71700000000001</v>
      </c>
      <c r="I77">
        <v>-65.25</v>
      </c>
      <c r="J77" t="s">
        <v>55</v>
      </c>
      <c r="K77" t="s">
        <v>40</v>
      </c>
      <c r="L77">
        <v>71</v>
      </c>
      <c r="M77">
        <v>94</v>
      </c>
      <c r="N77" t="s">
        <v>11</v>
      </c>
      <c r="O77">
        <v>1.9E-2</v>
      </c>
      <c r="P77">
        <v>439.4</v>
      </c>
      <c r="Q77">
        <v>0.19939999999999999</v>
      </c>
      <c r="R77">
        <v>1.2969999999999999</v>
      </c>
      <c r="S77">
        <v>6.51</v>
      </c>
      <c r="T77">
        <v>1.19</v>
      </c>
      <c r="U77">
        <v>-26.72</v>
      </c>
      <c r="V77">
        <v>-26.72</v>
      </c>
    </row>
    <row r="78" spans="1:22" x14ac:dyDescent="0.35">
      <c r="A78" t="s">
        <v>18</v>
      </c>
      <c r="B78" t="s">
        <v>32</v>
      </c>
      <c r="C78" t="s">
        <v>39</v>
      </c>
      <c r="D78">
        <v>20020218</v>
      </c>
      <c r="E78">
        <v>2225</v>
      </c>
      <c r="F78">
        <v>49</v>
      </c>
      <c r="G78">
        <f t="shared" si="1"/>
        <v>49.927083333333336</v>
      </c>
      <c r="H78">
        <v>-172.71700000000001</v>
      </c>
      <c r="I78">
        <v>-65.25</v>
      </c>
      <c r="J78" t="s">
        <v>55</v>
      </c>
      <c r="K78" t="s">
        <v>40</v>
      </c>
      <c r="L78">
        <v>16</v>
      </c>
      <c r="M78">
        <v>95</v>
      </c>
      <c r="N78" t="s">
        <v>10</v>
      </c>
      <c r="O78">
        <v>0.2112</v>
      </c>
      <c r="P78">
        <v>279.3</v>
      </c>
      <c r="Q78">
        <v>2.3199999999999998E-2</v>
      </c>
      <c r="R78">
        <v>0.16700000000000001</v>
      </c>
      <c r="S78">
        <v>7.2</v>
      </c>
      <c r="T78">
        <v>0.71</v>
      </c>
      <c r="U78">
        <v>-26.48</v>
      </c>
      <c r="V78">
        <v>-26.48</v>
      </c>
    </row>
    <row r="79" spans="1:22" x14ac:dyDescent="0.35">
      <c r="A79" t="s">
        <v>18</v>
      </c>
      <c r="B79" t="s">
        <v>32</v>
      </c>
      <c r="C79" t="s">
        <v>39</v>
      </c>
      <c r="D79">
        <v>20020218</v>
      </c>
      <c r="E79">
        <v>2225</v>
      </c>
      <c r="F79">
        <v>49</v>
      </c>
      <c r="G79">
        <f t="shared" si="1"/>
        <v>49.927083333333336</v>
      </c>
      <c r="H79">
        <v>-172.71700000000001</v>
      </c>
      <c r="I79">
        <v>-65.25</v>
      </c>
      <c r="J79" t="s">
        <v>55</v>
      </c>
      <c r="K79" t="s">
        <v>40</v>
      </c>
      <c r="L79">
        <v>16</v>
      </c>
      <c r="M79">
        <v>96</v>
      </c>
      <c r="N79" t="s">
        <v>11</v>
      </c>
      <c r="O79">
        <v>3.7999999999999999E-2</v>
      </c>
      <c r="P79">
        <v>279.3</v>
      </c>
      <c r="Q79">
        <v>0.33</v>
      </c>
      <c r="R79">
        <v>1.946</v>
      </c>
      <c r="S79">
        <v>5.9</v>
      </c>
      <c r="T79">
        <v>1.37</v>
      </c>
      <c r="U79">
        <v>-27.84</v>
      </c>
      <c r="V79">
        <v>-27.84</v>
      </c>
    </row>
    <row r="80" spans="1:22" x14ac:dyDescent="0.35">
      <c r="A80" t="s">
        <v>18</v>
      </c>
      <c r="B80" t="s">
        <v>23</v>
      </c>
      <c r="C80" t="s">
        <v>41</v>
      </c>
      <c r="D80">
        <v>20020219</v>
      </c>
      <c r="E80">
        <v>640</v>
      </c>
      <c r="F80">
        <v>50</v>
      </c>
      <c r="G80">
        <f t="shared" si="1"/>
        <v>50.266666666666666</v>
      </c>
      <c r="H80">
        <v>-172.143</v>
      </c>
      <c r="I80">
        <v>-65.891999999999996</v>
      </c>
      <c r="J80" t="s">
        <v>42</v>
      </c>
      <c r="K80" t="s">
        <v>43</v>
      </c>
      <c r="L80">
        <v>15.8</v>
      </c>
      <c r="M80">
        <v>110</v>
      </c>
      <c r="N80" t="s">
        <v>11</v>
      </c>
      <c r="O80">
        <v>1.9E-2</v>
      </c>
      <c r="P80">
        <v>101.4</v>
      </c>
      <c r="Q80">
        <v>1.3337000000000001</v>
      </c>
      <c r="R80">
        <v>7.5430000000000001</v>
      </c>
      <c r="S80">
        <v>5.66</v>
      </c>
      <c r="T80">
        <v>1.51</v>
      </c>
      <c r="U80">
        <v>-28.13</v>
      </c>
      <c r="V80">
        <v>-28.13</v>
      </c>
    </row>
    <row r="81" spans="1:22" x14ac:dyDescent="0.35">
      <c r="A81" t="s">
        <v>18</v>
      </c>
      <c r="B81" t="s">
        <v>23</v>
      </c>
      <c r="C81" t="s">
        <v>41</v>
      </c>
      <c r="D81">
        <v>20020219</v>
      </c>
      <c r="E81">
        <v>640</v>
      </c>
      <c r="F81">
        <v>50</v>
      </c>
      <c r="G81">
        <f t="shared" si="1"/>
        <v>50.266666666666666</v>
      </c>
      <c r="H81">
        <v>-172.143</v>
      </c>
      <c r="I81">
        <v>-65.891999999999996</v>
      </c>
      <c r="J81" t="s">
        <v>42</v>
      </c>
      <c r="K81" t="s">
        <v>43</v>
      </c>
      <c r="L81">
        <v>70.8</v>
      </c>
      <c r="M81">
        <v>117</v>
      </c>
      <c r="N81" t="s">
        <v>10</v>
      </c>
      <c r="O81">
        <v>0.20150000000000001</v>
      </c>
      <c r="P81">
        <v>433.4</v>
      </c>
      <c r="Q81">
        <v>1.4E-2</v>
      </c>
      <c r="R81">
        <v>0.112</v>
      </c>
      <c r="S81">
        <v>8.01</v>
      </c>
      <c r="T81">
        <v>0.99</v>
      </c>
      <c r="U81">
        <v>-27.28</v>
      </c>
      <c r="V81">
        <v>-27.28</v>
      </c>
    </row>
    <row r="82" spans="1:22" x14ac:dyDescent="0.35">
      <c r="A82" t="s">
        <v>18</v>
      </c>
      <c r="B82" t="s">
        <v>23</v>
      </c>
      <c r="C82" t="s">
        <v>41</v>
      </c>
      <c r="D82">
        <v>20020219</v>
      </c>
      <c r="E82">
        <v>640</v>
      </c>
      <c r="F82">
        <v>50</v>
      </c>
      <c r="G82">
        <f t="shared" si="1"/>
        <v>50.266666666666666</v>
      </c>
      <c r="H82">
        <v>-172.143</v>
      </c>
      <c r="I82">
        <v>-65.891999999999996</v>
      </c>
      <c r="J82" t="s">
        <v>42</v>
      </c>
      <c r="K82" t="s">
        <v>43</v>
      </c>
      <c r="L82">
        <v>70.8</v>
      </c>
      <c r="M82">
        <v>118</v>
      </c>
      <c r="N82" t="s">
        <v>11</v>
      </c>
      <c r="O82">
        <v>1.4200000000000001E-2</v>
      </c>
      <c r="P82">
        <v>433.4</v>
      </c>
      <c r="Q82">
        <v>0.29870000000000002</v>
      </c>
      <c r="R82">
        <v>1.7250000000000001</v>
      </c>
      <c r="S82">
        <v>5.78</v>
      </c>
      <c r="T82">
        <v>1.47</v>
      </c>
      <c r="U82">
        <v>-28.62</v>
      </c>
      <c r="V82">
        <v>-28.62</v>
      </c>
    </row>
    <row r="83" spans="1:22" x14ac:dyDescent="0.35">
      <c r="A83" t="s">
        <v>18</v>
      </c>
      <c r="B83" t="s">
        <v>23</v>
      </c>
      <c r="C83" t="s">
        <v>41</v>
      </c>
      <c r="D83">
        <v>20020219</v>
      </c>
      <c r="E83">
        <v>640</v>
      </c>
      <c r="F83">
        <v>50</v>
      </c>
      <c r="G83">
        <f t="shared" si="1"/>
        <v>50.266666666666666</v>
      </c>
      <c r="H83">
        <v>-172.143</v>
      </c>
      <c r="I83">
        <v>-65.891999999999996</v>
      </c>
      <c r="J83" t="s">
        <v>42</v>
      </c>
      <c r="K83" t="s">
        <v>43</v>
      </c>
      <c r="L83">
        <v>15.8</v>
      </c>
      <c r="M83">
        <v>119</v>
      </c>
      <c r="N83" t="s">
        <v>10</v>
      </c>
      <c r="O83">
        <v>0.2142</v>
      </c>
      <c r="P83">
        <v>101.4</v>
      </c>
      <c r="Q83">
        <v>0.1196</v>
      </c>
      <c r="R83">
        <v>0.79600000000000004</v>
      </c>
      <c r="S83">
        <v>6.66</v>
      </c>
      <c r="T83">
        <v>0.64</v>
      </c>
      <c r="U83">
        <v>-27</v>
      </c>
      <c r="V83">
        <v>-27</v>
      </c>
    </row>
    <row r="84" spans="1:22" x14ac:dyDescent="0.35">
      <c r="A84" t="s">
        <v>18</v>
      </c>
      <c r="B84" t="s">
        <v>23</v>
      </c>
      <c r="C84" t="s">
        <v>44</v>
      </c>
      <c r="D84">
        <v>20020219</v>
      </c>
      <c r="E84">
        <v>930</v>
      </c>
      <c r="F84">
        <v>50</v>
      </c>
      <c r="G84">
        <f t="shared" si="1"/>
        <v>50.387500000000003</v>
      </c>
      <c r="H84">
        <v>-171.90899999999999</v>
      </c>
      <c r="I84">
        <v>-65.834999999999994</v>
      </c>
      <c r="J84" t="s">
        <v>57</v>
      </c>
      <c r="K84" t="s">
        <v>45</v>
      </c>
      <c r="L84">
        <v>116.9</v>
      </c>
      <c r="M84">
        <v>113</v>
      </c>
      <c r="N84" t="s">
        <v>10</v>
      </c>
      <c r="O84">
        <v>0.20039999999999999</v>
      </c>
      <c r="P84">
        <v>896.3</v>
      </c>
      <c r="Q84">
        <v>2E-3</v>
      </c>
      <c r="R84">
        <v>1.6E-2</v>
      </c>
      <c r="S84">
        <v>8.0299999999999994</v>
      </c>
      <c r="T84">
        <v>2.4500000000000002</v>
      </c>
      <c r="U84">
        <v>-29.53</v>
      </c>
      <c r="V84">
        <v>-29.53</v>
      </c>
    </row>
    <row r="85" spans="1:22" x14ac:dyDescent="0.35">
      <c r="A85" t="s">
        <v>18</v>
      </c>
      <c r="B85" t="s">
        <v>23</v>
      </c>
      <c r="C85" t="s">
        <v>44</v>
      </c>
      <c r="D85">
        <v>20020219</v>
      </c>
      <c r="E85">
        <v>930</v>
      </c>
      <c r="F85">
        <v>50</v>
      </c>
      <c r="G85">
        <f t="shared" si="1"/>
        <v>50.387500000000003</v>
      </c>
      <c r="H85">
        <v>-171.90899999999999</v>
      </c>
      <c r="I85">
        <v>-65.834999999999994</v>
      </c>
      <c r="J85" t="s">
        <v>57</v>
      </c>
      <c r="K85" t="s">
        <v>45</v>
      </c>
      <c r="L85">
        <v>116.9</v>
      </c>
      <c r="M85">
        <v>114</v>
      </c>
      <c r="N85" t="s">
        <v>11</v>
      </c>
      <c r="O85">
        <v>5.7000000000000002E-2</v>
      </c>
      <c r="P85">
        <v>896.3</v>
      </c>
      <c r="Q85">
        <v>4.6800000000000001E-2</v>
      </c>
      <c r="R85">
        <v>0.32300000000000001</v>
      </c>
      <c r="S85">
        <v>6.91</v>
      </c>
      <c r="T85">
        <v>3.16</v>
      </c>
      <c r="U85">
        <v>-28.94</v>
      </c>
      <c r="V85">
        <v>-28.94</v>
      </c>
    </row>
    <row r="86" spans="1:22" x14ac:dyDescent="0.35">
      <c r="A86" t="s">
        <v>18</v>
      </c>
      <c r="B86" t="s">
        <v>23</v>
      </c>
      <c r="C86" t="s">
        <v>44</v>
      </c>
      <c r="D86">
        <v>20020219</v>
      </c>
      <c r="E86">
        <v>930</v>
      </c>
      <c r="F86">
        <v>50</v>
      </c>
      <c r="G86">
        <f t="shared" si="1"/>
        <v>50.387500000000003</v>
      </c>
      <c r="H86">
        <v>-171.90899999999999</v>
      </c>
      <c r="I86">
        <v>-65.834999999999994</v>
      </c>
      <c r="J86" t="s">
        <v>57</v>
      </c>
      <c r="K86" t="s">
        <v>45</v>
      </c>
      <c r="L86">
        <v>41.9</v>
      </c>
      <c r="M86">
        <v>116</v>
      </c>
      <c r="N86" t="s">
        <v>11</v>
      </c>
      <c r="O86">
        <v>9.4999999999999998E-3</v>
      </c>
      <c r="P86">
        <v>292.2</v>
      </c>
      <c r="Q86">
        <v>0.58099999999999996</v>
      </c>
      <c r="R86">
        <v>3.419</v>
      </c>
      <c r="S86">
        <v>5.88</v>
      </c>
      <c r="T86">
        <v>1.37</v>
      </c>
      <c r="U86">
        <v>-28.33</v>
      </c>
      <c r="V86">
        <v>-28.33</v>
      </c>
    </row>
    <row r="87" spans="1:22" x14ac:dyDescent="0.35">
      <c r="A87" t="s">
        <v>18</v>
      </c>
      <c r="B87" t="s">
        <v>32</v>
      </c>
      <c r="C87" t="s">
        <v>46</v>
      </c>
      <c r="D87">
        <v>20020219</v>
      </c>
      <c r="E87">
        <v>2230</v>
      </c>
      <c r="F87">
        <v>50</v>
      </c>
      <c r="G87">
        <f t="shared" si="1"/>
        <v>50.929166666666667</v>
      </c>
      <c r="H87">
        <v>-170.74299999999999</v>
      </c>
      <c r="I87">
        <v>-65.903000000000006</v>
      </c>
      <c r="J87" t="s">
        <v>47</v>
      </c>
      <c r="K87" t="s">
        <v>48</v>
      </c>
      <c r="L87">
        <v>70.5</v>
      </c>
      <c r="M87">
        <v>125</v>
      </c>
      <c r="N87" t="s">
        <v>10</v>
      </c>
      <c r="O87">
        <v>0.1021</v>
      </c>
      <c r="P87">
        <v>426.9</v>
      </c>
      <c r="Q87">
        <v>5.5199999999999999E-2</v>
      </c>
      <c r="R87">
        <v>0.42499999999999999</v>
      </c>
      <c r="S87">
        <v>7.7</v>
      </c>
      <c r="T87">
        <v>0.02</v>
      </c>
      <c r="U87">
        <v>-27.47</v>
      </c>
      <c r="V87">
        <v>-27.47</v>
      </c>
    </row>
    <row r="88" spans="1:22" x14ac:dyDescent="0.35">
      <c r="A88" t="s">
        <v>18</v>
      </c>
      <c r="B88" t="s">
        <v>32</v>
      </c>
      <c r="C88" t="s">
        <v>46</v>
      </c>
      <c r="D88">
        <v>20020219</v>
      </c>
      <c r="E88">
        <v>2230</v>
      </c>
      <c r="F88">
        <v>50</v>
      </c>
      <c r="G88">
        <f t="shared" si="1"/>
        <v>50.929166666666667</v>
      </c>
      <c r="H88">
        <v>-170.74299999999999</v>
      </c>
      <c r="I88">
        <v>-65.903000000000006</v>
      </c>
      <c r="J88" t="s">
        <v>47</v>
      </c>
      <c r="K88" t="s">
        <v>48</v>
      </c>
      <c r="L88">
        <v>70.5</v>
      </c>
      <c r="M88">
        <v>126</v>
      </c>
      <c r="N88" t="s">
        <v>11</v>
      </c>
      <c r="O88">
        <v>1.4200000000000001E-2</v>
      </c>
      <c r="P88">
        <v>426.9</v>
      </c>
      <c r="Q88">
        <v>0.35420000000000001</v>
      </c>
      <c r="R88">
        <v>2.012</v>
      </c>
      <c r="S88">
        <v>5.68</v>
      </c>
      <c r="T88">
        <v>-0.02</v>
      </c>
      <c r="U88">
        <v>-28.64</v>
      </c>
      <c r="V88">
        <v>-28.64</v>
      </c>
    </row>
    <row r="89" spans="1:22" x14ac:dyDescent="0.35">
      <c r="A89" t="s">
        <v>18</v>
      </c>
      <c r="B89" t="s">
        <v>32</v>
      </c>
      <c r="C89" t="s">
        <v>46</v>
      </c>
      <c r="D89">
        <v>20020219</v>
      </c>
      <c r="E89">
        <v>2230</v>
      </c>
      <c r="F89">
        <v>50</v>
      </c>
      <c r="G89">
        <f t="shared" si="1"/>
        <v>50.929166666666667</v>
      </c>
      <c r="H89">
        <v>-170.74299999999999</v>
      </c>
      <c r="I89">
        <v>-65.903000000000006</v>
      </c>
      <c r="J89" t="s">
        <v>47</v>
      </c>
      <c r="K89" t="s">
        <v>48</v>
      </c>
      <c r="L89">
        <v>15.5</v>
      </c>
      <c r="M89">
        <v>129</v>
      </c>
      <c r="N89" t="s">
        <v>10</v>
      </c>
      <c r="O89">
        <v>0.107</v>
      </c>
      <c r="P89">
        <v>481.8</v>
      </c>
      <c r="Q89">
        <v>8.6400000000000005E-2</v>
      </c>
      <c r="R89">
        <v>0.52500000000000002</v>
      </c>
      <c r="S89">
        <v>6.07</v>
      </c>
      <c r="T89">
        <v>-1.03</v>
      </c>
      <c r="U89">
        <v>-28.89</v>
      </c>
      <c r="V89">
        <v>-28.89</v>
      </c>
    </row>
    <row r="90" spans="1:22" x14ac:dyDescent="0.35">
      <c r="A90" t="s">
        <v>18</v>
      </c>
      <c r="B90" t="s">
        <v>32</v>
      </c>
      <c r="C90" t="s">
        <v>46</v>
      </c>
      <c r="D90">
        <v>20020219</v>
      </c>
      <c r="E90">
        <v>2230</v>
      </c>
      <c r="F90">
        <v>50</v>
      </c>
      <c r="G90">
        <f t="shared" si="1"/>
        <v>50.929166666666667</v>
      </c>
      <c r="H90">
        <v>-170.74299999999999</v>
      </c>
      <c r="I90">
        <v>-65.903000000000006</v>
      </c>
      <c r="J90" t="s">
        <v>47</v>
      </c>
      <c r="K90" t="s">
        <v>48</v>
      </c>
      <c r="L90">
        <v>15.5</v>
      </c>
      <c r="M90">
        <v>130</v>
      </c>
      <c r="N90" t="s">
        <v>11</v>
      </c>
      <c r="O90">
        <v>2.8500000000000001E-2</v>
      </c>
      <c r="P90">
        <v>481.8</v>
      </c>
      <c r="Q90">
        <v>0.31830000000000003</v>
      </c>
      <c r="R90">
        <v>1.774</v>
      </c>
      <c r="S90">
        <v>5.57</v>
      </c>
      <c r="T90">
        <v>-0.45</v>
      </c>
      <c r="U90">
        <v>-28.86</v>
      </c>
      <c r="V90">
        <v>-28.86</v>
      </c>
    </row>
    <row r="91" spans="1:22" x14ac:dyDescent="0.35">
      <c r="A91" t="s">
        <v>18</v>
      </c>
      <c r="B91" t="s">
        <v>32</v>
      </c>
      <c r="C91" t="s">
        <v>49</v>
      </c>
      <c r="D91">
        <v>20020220</v>
      </c>
      <c r="E91">
        <v>120</v>
      </c>
      <c r="F91">
        <v>51</v>
      </c>
      <c r="G91">
        <f t="shared" si="1"/>
        <v>51.05</v>
      </c>
      <c r="H91">
        <v>-170.59</v>
      </c>
      <c r="I91">
        <v>-65.941999999999993</v>
      </c>
      <c r="J91" t="s">
        <v>58</v>
      </c>
      <c r="K91" t="s">
        <v>50</v>
      </c>
      <c r="L91">
        <v>121.6</v>
      </c>
      <c r="M91">
        <v>131</v>
      </c>
      <c r="N91" t="s">
        <v>10</v>
      </c>
      <c r="O91">
        <v>0.27950000000000003</v>
      </c>
      <c r="P91">
        <v>458.7</v>
      </c>
      <c r="Q91">
        <v>3.2000000000000002E-3</v>
      </c>
      <c r="R91">
        <v>2.4E-2</v>
      </c>
      <c r="S91">
        <v>7.54</v>
      </c>
      <c r="T91">
        <v>2.15</v>
      </c>
      <c r="U91">
        <v>-28.68</v>
      </c>
      <c r="V91">
        <v>-28.68</v>
      </c>
    </row>
    <row r="92" spans="1:22" x14ac:dyDescent="0.35">
      <c r="A92" t="s">
        <v>18</v>
      </c>
      <c r="B92" t="s">
        <v>32</v>
      </c>
      <c r="C92" t="s">
        <v>49</v>
      </c>
      <c r="D92">
        <v>20020220</v>
      </c>
      <c r="E92">
        <v>120</v>
      </c>
      <c r="F92">
        <v>51</v>
      </c>
      <c r="G92">
        <f t="shared" si="1"/>
        <v>51.05</v>
      </c>
      <c r="H92">
        <v>-170.59</v>
      </c>
      <c r="I92">
        <v>-65.941999999999993</v>
      </c>
      <c r="J92" t="s">
        <v>58</v>
      </c>
      <c r="K92" t="s">
        <v>50</v>
      </c>
      <c r="L92">
        <v>121.6</v>
      </c>
      <c r="M92">
        <v>132</v>
      </c>
      <c r="N92" t="s">
        <v>11</v>
      </c>
      <c r="O92">
        <v>5.7000000000000002E-2</v>
      </c>
      <c r="P92">
        <v>458.7</v>
      </c>
      <c r="Q92">
        <v>0.1047</v>
      </c>
      <c r="R92">
        <v>0.68200000000000005</v>
      </c>
      <c r="S92">
        <v>6.52</v>
      </c>
      <c r="T92">
        <v>2.87</v>
      </c>
      <c r="U92">
        <v>-28.88</v>
      </c>
      <c r="V92">
        <v>-28.88</v>
      </c>
    </row>
    <row r="93" spans="1:22" x14ac:dyDescent="0.35">
      <c r="A93" t="s">
        <v>18</v>
      </c>
      <c r="B93" t="s">
        <v>32</v>
      </c>
      <c r="C93" t="s">
        <v>49</v>
      </c>
      <c r="D93">
        <v>20020220</v>
      </c>
      <c r="E93">
        <v>120</v>
      </c>
      <c r="F93">
        <v>51</v>
      </c>
      <c r="G93">
        <f t="shared" si="1"/>
        <v>51.05</v>
      </c>
      <c r="H93">
        <v>-170.59</v>
      </c>
      <c r="I93">
        <v>-65.941999999999993</v>
      </c>
      <c r="J93" t="s">
        <v>58</v>
      </c>
      <c r="K93" t="s">
        <v>50</v>
      </c>
      <c r="L93">
        <v>46.6</v>
      </c>
      <c r="M93">
        <v>133</v>
      </c>
      <c r="N93" t="s">
        <v>10</v>
      </c>
      <c r="O93">
        <v>9.2600000000000002E-2</v>
      </c>
      <c r="P93">
        <v>329.3</v>
      </c>
      <c r="Q93">
        <v>0.1628</v>
      </c>
      <c r="R93">
        <v>1.0569999999999999</v>
      </c>
      <c r="S93">
        <v>6.49</v>
      </c>
      <c r="T93">
        <v>-0.98</v>
      </c>
      <c r="U93">
        <v>-27.31</v>
      </c>
      <c r="V93">
        <v>-27.31</v>
      </c>
    </row>
    <row r="94" spans="1:22" x14ac:dyDescent="0.35">
      <c r="A94" t="s">
        <v>18</v>
      </c>
      <c r="B94" t="s">
        <v>32</v>
      </c>
      <c r="C94" t="s">
        <v>49</v>
      </c>
      <c r="D94">
        <v>20020220</v>
      </c>
      <c r="E94">
        <v>120</v>
      </c>
      <c r="F94">
        <v>51</v>
      </c>
      <c r="G94">
        <f t="shared" si="1"/>
        <v>51.05</v>
      </c>
      <c r="H94">
        <v>-170.59</v>
      </c>
      <c r="I94">
        <v>-65.941999999999993</v>
      </c>
      <c r="J94" t="s">
        <v>58</v>
      </c>
      <c r="K94" t="s">
        <v>50</v>
      </c>
      <c r="L94">
        <v>46.6</v>
      </c>
      <c r="M94">
        <v>134</v>
      </c>
      <c r="N94" t="s">
        <v>11</v>
      </c>
      <c r="O94">
        <v>1.9E-2</v>
      </c>
      <c r="P94">
        <v>329.3</v>
      </c>
      <c r="Q94">
        <v>0.57599999999999996</v>
      </c>
      <c r="R94">
        <v>3.1720000000000002</v>
      </c>
      <c r="S94">
        <v>5.51</v>
      </c>
      <c r="T94">
        <v>-0.95</v>
      </c>
      <c r="U94">
        <v>-28.65</v>
      </c>
      <c r="V94">
        <v>-28.65</v>
      </c>
    </row>
    <row r="95" spans="1:22" x14ac:dyDescent="0.35">
      <c r="A95" t="s">
        <v>18</v>
      </c>
      <c r="B95" t="s">
        <v>23</v>
      </c>
      <c r="C95" t="s">
        <v>51</v>
      </c>
      <c r="D95">
        <v>20020220</v>
      </c>
      <c r="E95">
        <v>1835</v>
      </c>
      <c r="F95">
        <v>51</v>
      </c>
      <c r="G95">
        <f t="shared" si="1"/>
        <v>51.764583333333334</v>
      </c>
      <c r="H95">
        <v>-171.95400000000001</v>
      </c>
      <c r="I95">
        <v>-65.843000000000004</v>
      </c>
      <c r="J95" t="s">
        <v>55</v>
      </c>
      <c r="K95" t="s">
        <v>52</v>
      </c>
      <c r="L95">
        <v>71.7</v>
      </c>
      <c r="M95">
        <v>143</v>
      </c>
      <c r="N95" t="s">
        <v>10</v>
      </c>
      <c r="O95">
        <v>9.7900000000000001E-2</v>
      </c>
      <c r="P95">
        <v>422</v>
      </c>
      <c r="Q95">
        <v>6.8900000000000003E-2</v>
      </c>
      <c r="R95">
        <v>0.49299999999999999</v>
      </c>
      <c r="S95">
        <v>7.15</v>
      </c>
      <c r="T95">
        <v>0.96</v>
      </c>
      <c r="U95">
        <v>-27.83</v>
      </c>
      <c r="V95">
        <v>-27.83</v>
      </c>
    </row>
    <row r="96" spans="1:22" x14ac:dyDescent="0.35">
      <c r="A96" t="s">
        <v>18</v>
      </c>
      <c r="B96" t="s">
        <v>23</v>
      </c>
      <c r="C96" t="s">
        <v>51</v>
      </c>
      <c r="D96">
        <v>20020220</v>
      </c>
      <c r="E96">
        <v>1835</v>
      </c>
      <c r="F96">
        <v>51</v>
      </c>
      <c r="G96">
        <f t="shared" si="1"/>
        <v>51.764583333333334</v>
      </c>
      <c r="H96">
        <v>-171.95400000000001</v>
      </c>
      <c r="I96">
        <v>-65.843000000000004</v>
      </c>
      <c r="J96" t="s">
        <v>55</v>
      </c>
      <c r="K96" t="s">
        <v>52</v>
      </c>
      <c r="L96">
        <v>71.7</v>
      </c>
      <c r="M96">
        <v>144</v>
      </c>
      <c r="N96" t="s">
        <v>11</v>
      </c>
      <c r="O96">
        <v>1.4200000000000001E-2</v>
      </c>
      <c r="P96">
        <v>422</v>
      </c>
      <c r="Q96">
        <v>0.35199999999999998</v>
      </c>
      <c r="R96">
        <v>1.972</v>
      </c>
      <c r="S96">
        <v>5.6</v>
      </c>
      <c r="T96">
        <v>1.65</v>
      </c>
      <c r="U96">
        <v>-28.23</v>
      </c>
      <c r="V96">
        <v>-28.23</v>
      </c>
    </row>
    <row r="97" spans="1:22" x14ac:dyDescent="0.35">
      <c r="A97" t="s">
        <v>18</v>
      </c>
      <c r="B97" t="s">
        <v>23</v>
      </c>
      <c r="C97" t="s">
        <v>53</v>
      </c>
      <c r="D97">
        <v>20020220</v>
      </c>
      <c r="E97">
        <v>2145</v>
      </c>
      <c r="F97">
        <v>51</v>
      </c>
      <c r="G97">
        <f t="shared" si="1"/>
        <v>51.893749999999997</v>
      </c>
      <c r="H97">
        <v>-171.953</v>
      </c>
      <c r="I97">
        <v>-65.849999999999994</v>
      </c>
      <c r="J97" t="s">
        <v>55</v>
      </c>
      <c r="K97" t="s">
        <v>54</v>
      </c>
      <c r="L97">
        <v>115</v>
      </c>
      <c r="M97">
        <v>149</v>
      </c>
      <c r="N97" t="s">
        <v>10</v>
      </c>
      <c r="O97">
        <v>0.28120000000000001</v>
      </c>
      <c r="P97">
        <v>459.5</v>
      </c>
      <c r="Q97">
        <v>5.0000000000000001E-3</v>
      </c>
      <c r="R97">
        <v>3.6999999999999998E-2</v>
      </c>
      <c r="S97">
        <v>7.4</v>
      </c>
      <c r="T97">
        <v>2.16</v>
      </c>
      <c r="U97">
        <v>-28.77</v>
      </c>
      <c r="V97">
        <v>-28.77</v>
      </c>
    </row>
    <row r="98" spans="1:22" x14ac:dyDescent="0.35">
      <c r="A98" t="s">
        <v>18</v>
      </c>
      <c r="B98" t="s">
        <v>23</v>
      </c>
      <c r="C98" t="s">
        <v>53</v>
      </c>
      <c r="D98">
        <v>20020220</v>
      </c>
      <c r="E98">
        <v>2145</v>
      </c>
      <c r="F98">
        <v>51</v>
      </c>
      <c r="G98">
        <f t="shared" si="1"/>
        <v>51.893749999999997</v>
      </c>
      <c r="H98">
        <v>-171.953</v>
      </c>
      <c r="I98">
        <v>-65.849999999999994</v>
      </c>
      <c r="J98" t="s">
        <v>55</v>
      </c>
      <c r="K98" t="s">
        <v>54</v>
      </c>
      <c r="L98">
        <v>115</v>
      </c>
      <c r="M98">
        <v>150</v>
      </c>
      <c r="N98" t="s">
        <v>11</v>
      </c>
      <c r="O98">
        <v>5.7000000000000002E-2</v>
      </c>
      <c r="P98">
        <v>459.5</v>
      </c>
      <c r="Q98">
        <v>9.2499999999999999E-2</v>
      </c>
      <c r="R98">
        <v>0.61699999999999999</v>
      </c>
      <c r="S98">
        <v>6.67</v>
      </c>
      <c r="T98">
        <v>3.03</v>
      </c>
      <c r="U98">
        <v>-29.22</v>
      </c>
      <c r="V98">
        <v>-29.22</v>
      </c>
    </row>
    <row r="99" spans="1:22" x14ac:dyDescent="0.35">
      <c r="A99" t="s">
        <v>18</v>
      </c>
      <c r="B99" t="s">
        <v>23</v>
      </c>
      <c r="C99" t="s">
        <v>53</v>
      </c>
      <c r="D99">
        <v>20020220</v>
      </c>
      <c r="E99">
        <v>2145</v>
      </c>
      <c r="F99">
        <v>51</v>
      </c>
      <c r="G99">
        <f t="shared" si="1"/>
        <v>51.893749999999997</v>
      </c>
      <c r="H99">
        <v>-171.953</v>
      </c>
      <c r="I99">
        <v>-65.849999999999994</v>
      </c>
      <c r="J99" t="s">
        <v>55</v>
      </c>
      <c r="K99" t="s">
        <v>54</v>
      </c>
      <c r="L99">
        <v>10</v>
      </c>
      <c r="M99">
        <v>151</v>
      </c>
      <c r="N99" t="s">
        <v>10</v>
      </c>
      <c r="O99">
        <v>4.0500000000000001E-2</v>
      </c>
      <c r="P99">
        <v>200.2</v>
      </c>
      <c r="Q99">
        <v>0.52349999999999997</v>
      </c>
      <c r="R99">
        <v>3.0979999999999999</v>
      </c>
      <c r="S99">
        <v>5.92</v>
      </c>
      <c r="T99">
        <v>1.29</v>
      </c>
      <c r="U99">
        <v>-26.83</v>
      </c>
      <c r="V99">
        <v>-26.83</v>
      </c>
    </row>
    <row r="100" spans="1:22" x14ac:dyDescent="0.35">
      <c r="A100" t="s">
        <v>18</v>
      </c>
      <c r="B100" t="s">
        <v>23</v>
      </c>
      <c r="C100" t="s">
        <v>53</v>
      </c>
      <c r="D100">
        <v>20020220</v>
      </c>
      <c r="E100">
        <v>2145</v>
      </c>
      <c r="F100">
        <v>51</v>
      </c>
      <c r="G100">
        <f t="shared" si="1"/>
        <v>51.893749999999997</v>
      </c>
      <c r="H100">
        <v>-171.953</v>
      </c>
      <c r="I100">
        <v>-65.849999999999994</v>
      </c>
      <c r="J100" t="s">
        <v>55</v>
      </c>
      <c r="K100" t="s">
        <v>54</v>
      </c>
      <c r="L100">
        <v>10</v>
      </c>
      <c r="M100">
        <v>152</v>
      </c>
      <c r="N100" t="s">
        <v>11</v>
      </c>
      <c r="O100">
        <v>1.9E-2</v>
      </c>
      <c r="P100">
        <v>200.2</v>
      </c>
      <c r="Q100">
        <v>0.9073</v>
      </c>
      <c r="R100">
        <v>5.0819999999999999</v>
      </c>
      <c r="S100">
        <v>5.6</v>
      </c>
      <c r="T100">
        <v>1.9</v>
      </c>
      <c r="U100">
        <v>-27.73</v>
      </c>
      <c r="V100">
        <v>-27.73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LVP_pump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Palmer</dc:creator>
  <cp:lastModifiedBy>Emily Palmer</cp:lastModifiedBy>
  <dcterms:created xsi:type="dcterms:W3CDTF">2026-05-28T01:06:34Z</dcterms:created>
  <dcterms:modified xsi:type="dcterms:W3CDTF">2026-05-28T01:40:43Z</dcterms:modified>
</cp:coreProperties>
</file>